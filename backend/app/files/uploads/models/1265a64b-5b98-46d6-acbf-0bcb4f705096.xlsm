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vaccaro\Downloads\"/>
    </mc:Choice>
  </mc:AlternateContent>
  <xr:revisionPtr revIDLastSave="0" documentId="8_{7139A3F1-4311-4F0E-9063-731FC5FC0471}" xr6:coauthVersionLast="47" xr6:coauthVersionMax="47" xr10:uidLastSave="{00000000-0000-0000-0000-000000000000}"/>
  <bookViews>
    <workbookView xWindow="-120" yWindow="-120" windowWidth="29040" windowHeight="15840" xr2:uid="{5864221E-42DC-4F46-B6BC-0C505B7506B6}"/>
  </bookViews>
  <sheets>
    <sheet name="READ ME - Instructions" sheetId="16" r:id="rId1"/>
    <sheet name="Deal Summary" sheetId="11" r:id="rId2"/>
    <sheet name="RR" sheetId="9" r:id="rId3"/>
    <sheet name="Proforma" sheetId="2" r:id="rId4"/>
    <sheet name="T-12" sheetId="10" r:id="rId5"/>
    <sheet name="LOI" sheetId="14" r:id="rId6"/>
  </sheets>
  <definedNames>
    <definedName name="\" hidden="1">{#N/A,#N/A,FALSE,"A";#N/A,#N/A,FALSE,"C"}</definedName>
    <definedName name="\0">#REF!</definedName>
    <definedName name="\1">#REF!</definedName>
    <definedName name="\A">#REF!</definedName>
    <definedName name="\B">#REF!</definedName>
    <definedName name="\C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P">#REF!</definedName>
    <definedName name="\Q">#REF!</definedName>
    <definedName name="\r">#REF!</definedName>
    <definedName name="\S">#REF!</definedName>
    <definedName name="\t">#REF!</definedName>
    <definedName name="\U">#REF!</definedName>
    <definedName name="\V">#REF!</definedName>
    <definedName name="\W">#REF!</definedName>
    <definedName name="\X">#REF!</definedName>
    <definedName name="\Y">#REF!</definedName>
    <definedName name="\Z">#REF!</definedName>
    <definedName name="_.">#REF!</definedName>
    <definedName name="__" hidden="1">#REF!</definedName>
    <definedName name="____________________________________________________________mg3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____________________________old2" hidden="1">{#N/A,#N/A,FALSE,"Chart 2 by Prop Type"}</definedName>
    <definedName name="____________________________old2" hidden="1">{#N/A,#N/A,FALSE,"Chart 2 by Prop Type"}</definedName>
    <definedName name="___________________________old2" hidden="1">{#N/A,#N/A,FALSE,"Chart 2 by Prop Type"}</definedName>
    <definedName name="__________________________old2" hidden="1">{#N/A,#N/A,FALSE,"Chart 2 by Prop Type"}</definedName>
    <definedName name="_________________________ACT2003">#REF!</definedName>
    <definedName name="_________________________ACT2004">#REF!</definedName>
    <definedName name="_________________________ACT2005">#REF!</definedName>
    <definedName name="_________________________BUD2003">#REF!</definedName>
    <definedName name="_________________________BUD2004">#REF!</definedName>
    <definedName name="_________________________BUD2005">#REF!</definedName>
    <definedName name="_________________________old2" hidden="1">{#N/A,#N/A,FALSE,"Chart 2 by Prop Type"}</definedName>
    <definedName name="________________________ACT2003">#REF!</definedName>
    <definedName name="________________________ACT2004">#REF!</definedName>
    <definedName name="________________________ACT2005">#REF!</definedName>
    <definedName name="________________________BUD2003">#REF!</definedName>
    <definedName name="________________________BUD2004">#REF!</definedName>
    <definedName name="________________________BUD2005">#REF!</definedName>
    <definedName name="________________________old2" hidden="1">{#N/A,#N/A,FALSE,"Chart 2 by Prop Type"}</definedName>
    <definedName name="_______________________ACT2003">#REF!</definedName>
    <definedName name="_______________________ACT2004">#REF!</definedName>
    <definedName name="_______________________ACT2005">#REF!</definedName>
    <definedName name="_______________________BUD2003">#REF!</definedName>
    <definedName name="_______________________BUD2004">#REF!</definedName>
    <definedName name="_______________________BUD2005">#REF!</definedName>
    <definedName name="_______________________old2" hidden="1">{#N/A,#N/A,FALSE,"Chart 2 by Prop Type"}</definedName>
    <definedName name="______________________ACT2003">#REF!</definedName>
    <definedName name="______________________ACT2004">#REF!</definedName>
    <definedName name="______________________ACT2005">#REF!</definedName>
    <definedName name="______________________BUD2003">#REF!</definedName>
    <definedName name="______________________BUD2004">#REF!</definedName>
    <definedName name="______________________BUD2005">#REF!</definedName>
    <definedName name="______________________old2" hidden="1">{#N/A,#N/A,FALSE,"Chart 2 by Prop Type"}</definedName>
    <definedName name="_____________________ACT2003">#REF!</definedName>
    <definedName name="_____________________ACT2004">#REF!</definedName>
    <definedName name="_____________________ACT2005">#REF!</definedName>
    <definedName name="_____________________BUD2003">#REF!</definedName>
    <definedName name="_____________________BUD2004">#REF!</definedName>
    <definedName name="_____________________BUD2005">#REF!</definedName>
    <definedName name="_____________________old2" hidden="1">{#N/A,#N/A,FALSE,"Chart 2 by Prop Type"}</definedName>
    <definedName name="____________________ACT2003">#REF!</definedName>
    <definedName name="____________________ACT2004">#REF!</definedName>
    <definedName name="____________________ACT2005">#REF!</definedName>
    <definedName name="____________________BUD2003">#REF!</definedName>
    <definedName name="____________________BUD2004">#REF!</definedName>
    <definedName name="____________________BUD2005">#REF!</definedName>
    <definedName name="____________________old2" hidden="1">{#N/A,#N/A,FALSE,"Chart 2 by Prop Type"}</definedName>
    <definedName name="___________________ACT2003">#REF!</definedName>
    <definedName name="___________________ACT2004">#REF!</definedName>
    <definedName name="___________________ACT2005">#REF!</definedName>
    <definedName name="___________________BUD2003">#REF!</definedName>
    <definedName name="___________________BUD2004">#REF!</definedName>
    <definedName name="___________________BUD2005">#REF!</definedName>
    <definedName name="___________________old2" hidden="1">{#N/A,#N/A,FALSE,"Chart 2 by Prop Type"}</definedName>
    <definedName name="__________________ACT2003">#REF!</definedName>
    <definedName name="__________________ACT2004">#REF!</definedName>
    <definedName name="__________________ACT2005">#REF!</definedName>
    <definedName name="__________________BUD2003">#REF!</definedName>
    <definedName name="__________________BUD2004">#REF!</definedName>
    <definedName name="__________________BUD2005">#REF!</definedName>
    <definedName name="__________________old2" hidden="1">{#N/A,#N/A,FALSE,"Chart 2 by Prop Type"}</definedName>
    <definedName name="_________________ACT2003">#REF!</definedName>
    <definedName name="_________________ACT2004">#REF!</definedName>
    <definedName name="_________________ACT2005">#REF!</definedName>
    <definedName name="_________________BUD2003">#REF!</definedName>
    <definedName name="_________________BUD2004">#REF!</definedName>
    <definedName name="_________________BUD2005">#REF!</definedName>
    <definedName name="_________________old2" hidden="1">{#N/A,#N/A,FALSE,"Chart 2 by Prop Type"}</definedName>
    <definedName name="________________ACT2003">#REF!</definedName>
    <definedName name="________________ACT2004">#REF!</definedName>
    <definedName name="________________ACT2005">#REF!</definedName>
    <definedName name="________________BUD2003">#REF!</definedName>
    <definedName name="________________BUD2004">#REF!</definedName>
    <definedName name="________________BUD2005">#REF!</definedName>
    <definedName name="________________old2" hidden="1">{#N/A,#N/A,FALSE,"Chart 2 by Prop Type"}</definedName>
    <definedName name="_______________ACT2003">#REF!</definedName>
    <definedName name="_______________ACT2004">#REF!</definedName>
    <definedName name="_______________ACT2005">#REF!</definedName>
    <definedName name="_______________BUD2003">#REF!</definedName>
    <definedName name="_______________BUD2004">#REF!</definedName>
    <definedName name="_______________BUD2005">#REF!</definedName>
    <definedName name="_______________MTD34">#REF!</definedName>
    <definedName name="_______________MTD35">#REF!</definedName>
    <definedName name="_______________old2" hidden="1">{#N/A,#N/A,FALSE,"Chart 2 by Prop Type"}</definedName>
    <definedName name="______________ACT2003">#REF!</definedName>
    <definedName name="______________ACT2004">#REF!</definedName>
    <definedName name="______________ACT2005">#REF!</definedName>
    <definedName name="______________BUD2003">#REF!</definedName>
    <definedName name="______________BUD2004">#REF!</definedName>
    <definedName name="______________BUD2005">#REF!</definedName>
    <definedName name="______________ky1" hidden="1">#N/A</definedName>
    <definedName name="______________old2" hidden="1">{#N/A,#N/A,FALSE,"Chart 2 by Prop Type"}</definedName>
    <definedName name="_____________ACT2003">#REF!</definedName>
    <definedName name="_____________ACT2004">#REF!</definedName>
    <definedName name="_____________ACT2005">#REF!</definedName>
    <definedName name="_____________BUD2003">#REF!</definedName>
    <definedName name="_____________BUD2004">#REF!</definedName>
    <definedName name="_____________BUD2005">#REF!</definedName>
    <definedName name="_____________ky1" hidden="1">#N/A</definedName>
    <definedName name="_____________old2" hidden="1">{#N/A,#N/A,FALSE,"Chart 2 by Prop Type"}</definedName>
    <definedName name="____________ACT2003">#REF!</definedName>
    <definedName name="____________ACT2004">#REF!</definedName>
    <definedName name="____________ACT2005">#REF!</definedName>
    <definedName name="____________BUD2003">#REF!</definedName>
    <definedName name="____________BUD2004">#REF!</definedName>
    <definedName name="____________BUD2005">#REF!</definedName>
    <definedName name="____________ky1" hidden="1">#N/A</definedName>
    <definedName name="____________old2" hidden="1">{#N/A,#N/A,FALSE,"Chart 2 by Prop Type"}</definedName>
    <definedName name="___________ACT2003">#REF!</definedName>
    <definedName name="___________ACT2004">#REF!</definedName>
    <definedName name="___________ACT2005">#REF!</definedName>
    <definedName name="___________BUD2003">#REF!</definedName>
    <definedName name="___________BUD2004">#REF!</definedName>
    <definedName name="___________BUD2005">#REF!</definedName>
    <definedName name="___________dan1" hidden="1">#REF!</definedName>
    <definedName name="___________ky1" hidden="1">#N/A</definedName>
    <definedName name="___________old2" hidden="1">{#N/A,#N/A,FALSE,"Chart 2 by Prop Type"}</definedName>
    <definedName name="___________RMS16">#REF!</definedName>
    <definedName name="___________RMS17">#REF!</definedName>
    <definedName name="___________RMS18">#REF!</definedName>
    <definedName name="___________RMS19">#REF!</definedName>
    <definedName name="___________RMS20">#REF!</definedName>
    <definedName name="___________RMS21">#REF!</definedName>
    <definedName name="___________RMS22">#REF!</definedName>
    <definedName name="___________RMS23">#REF!</definedName>
    <definedName name="___________RMS24">#REF!</definedName>
    <definedName name="___________RMS25">#REF!</definedName>
    <definedName name="___________RMS26">#REF!</definedName>
    <definedName name="___________RMS27">#REF!</definedName>
    <definedName name="___________RMS28">#REF!</definedName>
    <definedName name="___________RMS29">#REF!</definedName>
    <definedName name="___________RMS30">#REF!</definedName>
    <definedName name="___________RMS31">#REF!</definedName>
    <definedName name="__________ACT2003">#REF!</definedName>
    <definedName name="__________ACT2004">#REF!</definedName>
    <definedName name="__________ACT2005">#REF!</definedName>
    <definedName name="__________BUD2003">#REF!</definedName>
    <definedName name="__________BUD2004">#REF!</definedName>
    <definedName name="__________BUD2005">#REF!</definedName>
    <definedName name="__________dan1" hidden="1">#REF!</definedName>
    <definedName name="__________ky1" hidden="1">#N/A</definedName>
    <definedName name="__________old2" hidden="1">{#N/A,#N/A,FALSE,"Chart 2 by Prop Type"}</definedName>
    <definedName name="_________ACT2003">#REF!</definedName>
    <definedName name="_________ACT2004">#REF!</definedName>
    <definedName name="_________ACT2005">#REF!</definedName>
    <definedName name="_________BUD2003">#REF!</definedName>
    <definedName name="_________BUD2004">#REF!</definedName>
    <definedName name="_________BUD2005">#REF!</definedName>
    <definedName name="_________ky1" hidden="1">#N/A</definedName>
    <definedName name="_________old2" hidden="1">{#N/A,#N/A,FALSE,"Chart 2 by Prop Type"}</definedName>
    <definedName name="________ACT2003">#REF!</definedName>
    <definedName name="________ACT2004">#REF!</definedName>
    <definedName name="________ACT2005">#REF!</definedName>
    <definedName name="________BUD2003">#REF!</definedName>
    <definedName name="________BUD2004">#REF!</definedName>
    <definedName name="________BUD2005">#REF!</definedName>
    <definedName name="________DET1">#REF!</definedName>
    <definedName name="________DET5">#REF!</definedName>
    <definedName name="________ky1" hidden="1">#REF!</definedName>
    <definedName name="________max1">#REF!</definedName>
    <definedName name="________max2">#REF!</definedName>
    <definedName name="________MTD34">#REF!</definedName>
    <definedName name="________MTD35">#REF!</definedName>
    <definedName name="________old2" hidden="1">{#N/A,#N/A,FALSE,"Chart 2 by Prop Type"}</definedName>
    <definedName name="________RMS16">#REF!</definedName>
    <definedName name="________RMS17">#REF!</definedName>
    <definedName name="________RMS18">#REF!</definedName>
    <definedName name="________RMS19">#REF!</definedName>
    <definedName name="________RMS20">#REF!</definedName>
    <definedName name="________RMS21">#REF!</definedName>
    <definedName name="________RMS22">#REF!</definedName>
    <definedName name="________RMS23">#REF!</definedName>
    <definedName name="________RMS24">#REF!</definedName>
    <definedName name="________RMS25">#REF!</definedName>
    <definedName name="________RMS26">#REF!</definedName>
    <definedName name="________RMS27">#REF!</definedName>
    <definedName name="________RMS28">#REF!</definedName>
    <definedName name="________RMS29">#REF!</definedName>
    <definedName name="________RMS30">#REF!</definedName>
    <definedName name="________RMS31">#REF!</definedName>
    <definedName name="________SUM1">#REF!</definedName>
    <definedName name="________TOP1">#REF!</definedName>
    <definedName name="________TOP2">#REF!</definedName>
    <definedName name="_______a1" hidden="1">{"Assump",#N/A,TRUE,"Proforma";"first",#N/A,TRUE,"Proforma";"second",#N/A,TRUE,"Proforma";"lease1",#N/A,TRUE,"Proforma";"lease2",#N/A,TRUE,"Proforma"}</definedName>
    <definedName name="_______ACT2003">#REF!</definedName>
    <definedName name="_______ACT2004">#REF!</definedName>
    <definedName name="_______ACT2005">#REF!</definedName>
    <definedName name="_______BUD2003">#REF!</definedName>
    <definedName name="_______BUD2004">#REF!</definedName>
    <definedName name="_______BUD2005">#REF!</definedName>
    <definedName name="_______DET1">#REF!</definedName>
    <definedName name="_______DET5">#REF!</definedName>
    <definedName name="_______ky1" hidden="1">#N/A</definedName>
    <definedName name="_______max1">#REF!</definedName>
    <definedName name="_______max2">#REF!</definedName>
    <definedName name="_______MTD34">#REF!</definedName>
    <definedName name="_______MTD35">#REF!</definedName>
    <definedName name="_______old2" hidden="1">{#N/A,#N/A,FALSE,"Chart 2 by Prop Type"}</definedName>
    <definedName name="_______RMS16">#REF!</definedName>
    <definedName name="_______RMS17">#REF!</definedName>
    <definedName name="_______RMS18">#REF!</definedName>
    <definedName name="_______RMS19">#REF!</definedName>
    <definedName name="_______RMS20">#REF!</definedName>
    <definedName name="_______RMS21">#REF!</definedName>
    <definedName name="_______RMS22">#REF!</definedName>
    <definedName name="_______RMS23">#REF!</definedName>
    <definedName name="_______RMS24">#REF!</definedName>
    <definedName name="_______RMS25">#REF!</definedName>
    <definedName name="_______RMS26">#REF!</definedName>
    <definedName name="_______RMS27">#REF!</definedName>
    <definedName name="_______RMS28">#REF!</definedName>
    <definedName name="_______RMS29">#REF!</definedName>
    <definedName name="_______RMS30">#REF!</definedName>
    <definedName name="_______RMS31">#REF!</definedName>
    <definedName name="_______SUM1">#REF!</definedName>
    <definedName name="_______TOP1">#REF!</definedName>
    <definedName name="_______TOP2">#REF!</definedName>
    <definedName name="______a1" hidden="1">{"Assump",#N/A,TRUE,"Proforma";"first",#N/A,TRUE,"Proforma";"second",#N/A,TRUE,"Proforma";"lease1",#N/A,TRUE,"Proforma";"lease2",#N/A,TRUE,"Proforma"}</definedName>
    <definedName name="______ACT2003">#REF!</definedName>
    <definedName name="______ACT2004">#REF!</definedName>
    <definedName name="______ACT2005">#REF!</definedName>
    <definedName name="______BUD2003">#REF!</definedName>
    <definedName name="______BUD2004">#REF!</definedName>
    <definedName name="______BUD2005">#REF!</definedName>
    <definedName name="______CPI2">#REF!</definedName>
    <definedName name="______dan1" hidden="1">#REF!</definedName>
    <definedName name="______DET1">#REF!</definedName>
    <definedName name="______DET5">#REF!</definedName>
    <definedName name="______ky1" hidden="1">#REF!</definedName>
    <definedName name="______max1">#REF!</definedName>
    <definedName name="______max2">#REF!</definedName>
    <definedName name="______Mkt1">#REF!</definedName>
    <definedName name="______Mkt2">#REF!</definedName>
    <definedName name="______Mkt3">#REF!</definedName>
    <definedName name="______MTD34">#REF!</definedName>
    <definedName name="______MTD35">#REF!</definedName>
    <definedName name="______old2" hidden="1">{#N/A,#N/A,FALSE,"Chart 2 by Prop Type"}</definedName>
    <definedName name="______RMS01">#REF!</definedName>
    <definedName name="______RMS02">#REF!</definedName>
    <definedName name="______RMS03">#REF!</definedName>
    <definedName name="______RMS04">#REF!</definedName>
    <definedName name="______RMS05">#REF!</definedName>
    <definedName name="______RMS06">#REF!</definedName>
    <definedName name="______RMS07">#REF!</definedName>
    <definedName name="______RMS08">#REF!</definedName>
    <definedName name="______RMS09">#REF!</definedName>
    <definedName name="______RMS10">#REF!</definedName>
    <definedName name="______RMS11">#REF!</definedName>
    <definedName name="______RMS12">#REF!</definedName>
    <definedName name="______RMS13">#REF!</definedName>
    <definedName name="______RMS14">#REF!</definedName>
    <definedName name="______RMS15">#REF!</definedName>
    <definedName name="______RMS16">#REF!</definedName>
    <definedName name="______RMS17">#REF!</definedName>
    <definedName name="______RMS18">#REF!</definedName>
    <definedName name="______RMS19">#REF!</definedName>
    <definedName name="______RMS20">#REF!</definedName>
    <definedName name="______RMS21">#REF!</definedName>
    <definedName name="______RMS22">#REF!</definedName>
    <definedName name="______RMS23">#REF!</definedName>
    <definedName name="______RMS24">#REF!</definedName>
    <definedName name="______RMS25">#REF!</definedName>
    <definedName name="______RMS26">#REF!</definedName>
    <definedName name="______RMS27">#REF!</definedName>
    <definedName name="______RMS28">#REF!</definedName>
    <definedName name="______RMS29">#REF!</definedName>
    <definedName name="______RMS30">#REF!</definedName>
    <definedName name="______RMS31">#REF!</definedName>
    <definedName name="______seg1">#REF!</definedName>
    <definedName name="______seg2">#REF!</definedName>
    <definedName name="______seg3">#REF!</definedName>
    <definedName name="______seg4">#REF!</definedName>
    <definedName name="______SUM1">#REF!</definedName>
    <definedName name="______TOP1">#REF!</definedName>
    <definedName name="______TOP2">#REF!</definedName>
    <definedName name="______YR1">#REF!</definedName>
    <definedName name="______YR10">#REF!</definedName>
    <definedName name="______YR11">#REF!</definedName>
    <definedName name="______YR2">#REF!</definedName>
    <definedName name="______YR3">#REF!</definedName>
    <definedName name="______YR4">#REF!</definedName>
    <definedName name="______YR5">#REF!</definedName>
    <definedName name="______YR6">#REF!</definedName>
    <definedName name="______YR7">#REF!</definedName>
    <definedName name="______YR8">#REF!</definedName>
    <definedName name="______YR9">#REF!</definedName>
    <definedName name="_____a1" hidden="1">{"Assump",#N/A,TRUE,"Proforma";"first",#N/A,TRUE,"Proforma";"second",#N/A,TRUE,"Proforma";"lease1",#N/A,TRUE,"Proforma";"lease2",#N/A,TRUE,"Proforma"}</definedName>
    <definedName name="_____ACT2003">#REF!</definedName>
    <definedName name="_____ACT2004">#REF!</definedName>
    <definedName name="_____ACT2005">#REF!</definedName>
    <definedName name="_____al1" hidden="1">{"sheet a",#N/A,FALSE,"A";"sheet b 1",#N/A,FALSE,"B";"sheet b 2",#N/A,FALSE,"B"}</definedName>
    <definedName name="_____BUD2003">#REF!</definedName>
    <definedName name="_____BUD2004">#REF!</definedName>
    <definedName name="_____BUD2005">#REF!</definedName>
    <definedName name="_____CFR1">#REF!</definedName>
    <definedName name="_____CFR2">#REF!</definedName>
    <definedName name="_____CPI2">#REF!</definedName>
    <definedName name="_____dan1" hidden="1">#REF!</definedName>
    <definedName name="_____DET1">#REF!</definedName>
    <definedName name="_____DET5">#REF!</definedName>
    <definedName name="_____IRR1">#REF!</definedName>
    <definedName name="_____ky1" hidden="1">#N/A</definedName>
    <definedName name="_____max1">#REF!</definedName>
    <definedName name="_____max2">#REF!</definedName>
    <definedName name="_____Mkt1">#REF!</definedName>
    <definedName name="_____Mkt2">#REF!</definedName>
    <definedName name="_____Mkt3">#REF!</definedName>
    <definedName name="_____MTD34">#REF!</definedName>
    <definedName name="_____MTD35">#REF!</definedName>
    <definedName name="_____old2" hidden="1">{#N/A,#N/A,FALSE,"Chart 2 by Prop Type"}</definedName>
    <definedName name="_____REQ1">#REF!</definedName>
    <definedName name="_____RMS01">#REF!</definedName>
    <definedName name="_____RMS02">#REF!</definedName>
    <definedName name="_____RMS03">#REF!</definedName>
    <definedName name="_____RMS04">#REF!</definedName>
    <definedName name="_____RMS05">#REF!</definedName>
    <definedName name="_____RMS06">#REF!</definedName>
    <definedName name="_____RMS07">#REF!</definedName>
    <definedName name="_____RMS08">#REF!</definedName>
    <definedName name="_____RMS09">#REF!</definedName>
    <definedName name="_____RMS10">#REF!</definedName>
    <definedName name="_____RMS11">#REF!</definedName>
    <definedName name="_____RMS12">#REF!</definedName>
    <definedName name="_____RMS13">#REF!</definedName>
    <definedName name="_____RMS14">#REF!</definedName>
    <definedName name="_____RMS15">#REF!</definedName>
    <definedName name="_____RMS16">#REF!</definedName>
    <definedName name="_____RMS17">#REF!</definedName>
    <definedName name="_____RMS18">#REF!</definedName>
    <definedName name="_____RMS19">#REF!</definedName>
    <definedName name="_____RMS20">#REF!</definedName>
    <definedName name="_____RMS21">#REF!</definedName>
    <definedName name="_____RMS22">#REF!</definedName>
    <definedName name="_____RMS23">#REF!</definedName>
    <definedName name="_____RMS24">#REF!</definedName>
    <definedName name="_____RMS25">#REF!</definedName>
    <definedName name="_____RMS26">#REF!</definedName>
    <definedName name="_____RMS27">#REF!</definedName>
    <definedName name="_____RMS28">#REF!</definedName>
    <definedName name="_____RMS29">#REF!</definedName>
    <definedName name="_____RMS30">#REF!</definedName>
    <definedName name="_____RMS31">#REF!</definedName>
    <definedName name="_____seg1">#REF!</definedName>
    <definedName name="_____seg2">#REF!</definedName>
    <definedName name="_____seg3">#REF!</definedName>
    <definedName name="_____seg4">#REF!</definedName>
    <definedName name="_____SUM1">#REF!</definedName>
    <definedName name="_____SUM2">#REF!</definedName>
    <definedName name="_____SUM3">#REF!</definedName>
    <definedName name="_____TOP1">#REF!</definedName>
    <definedName name="_____TOP2">#REF!</definedName>
    <definedName name="_____YR1">#REF!</definedName>
    <definedName name="_____YR10">#REF!</definedName>
    <definedName name="_____YR11">#REF!</definedName>
    <definedName name="_____YR2">#REF!</definedName>
    <definedName name="_____YR3">#REF!</definedName>
    <definedName name="_____YR4">#REF!</definedName>
    <definedName name="_____YR5">#REF!</definedName>
    <definedName name="_____YR6">#REF!</definedName>
    <definedName name="_____YR7">#REF!</definedName>
    <definedName name="_____YR8">#REF!</definedName>
    <definedName name="_____YR9">#REF!</definedName>
    <definedName name="____1_0_K" hidden="1">#N/A</definedName>
    <definedName name="____a1" hidden="1">{"Assump",#N/A,TRUE,"Proforma";"first",#N/A,TRUE,"Proforma";"second",#N/A,TRUE,"Proforma";"lease1",#N/A,TRUE,"Proforma";"lease2",#N/A,TRUE,"Proforma"}</definedName>
    <definedName name="____ACT2003">#REF!</definedName>
    <definedName name="____ACT2004">#REF!</definedName>
    <definedName name="____ACT2005">#REF!</definedName>
    <definedName name="____al1" hidden="1">{"sheet a",#N/A,FALSE,"A";"sheet b 1",#N/A,FALSE,"B";"sheet b 2",#N/A,FALSE,"B"}</definedName>
    <definedName name="____BUD2003">#REF!</definedName>
    <definedName name="____BUD2004">#REF!</definedName>
    <definedName name="____BUD2005">#REF!</definedName>
    <definedName name="____CFR1">#REF!</definedName>
    <definedName name="____CFR2">#REF!</definedName>
    <definedName name="____CPI2">#REF!</definedName>
    <definedName name="____dan1" hidden="1">#REF!</definedName>
    <definedName name="____DET1">#REF!</definedName>
    <definedName name="____DET5">#REF!</definedName>
    <definedName name="____IRR1">#REF!</definedName>
    <definedName name="____ky1" hidden="1">#N/A</definedName>
    <definedName name="____max1">#REF!</definedName>
    <definedName name="____max2">#REF!</definedName>
    <definedName name="____Mkt1">#REF!</definedName>
    <definedName name="____Mkt2">#REF!</definedName>
    <definedName name="____Mkt3">#REF!</definedName>
    <definedName name="____old2" hidden="1">{#N/A,#N/A,FALSE,"Chart 2 by Prop Type"}</definedName>
    <definedName name="____REQ1">#REF!</definedName>
    <definedName name="____RMS01">#REF!</definedName>
    <definedName name="____RMS02">#REF!</definedName>
    <definedName name="____RMS03">#REF!</definedName>
    <definedName name="____RMS04">#REF!</definedName>
    <definedName name="____RMS05">#REF!</definedName>
    <definedName name="____RMS06">#REF!</definedName>
    <definedName name="____RMS07">#REF!</definedName>
    <definedName name="____RMS08">#REF!</definedName>
    <definedName name="____RMS09">#REF!</definedName>
    <definedName name="____RMS10">#REF!</definedName>
    <definedName name="____RMS11">#REF!</definedName>
    <definedName name="____RMS12">#REF!</definedName>
    <definedName name="____RMS13">#REF!</definedName>
    <definedName name="____RMS14">#REF!</definedName>
    <definedName name="____RMS15">#REF!</definedName>
    <definedName name="____seg1">#REF!</definedName>
    <definedName name="____seg2">#REF!</definedName>
    <definedName name="____seg3">#REF!</definedName>
    <definedName name="____seg4">#REF!</definedName>
    <definedName name="____SUM1">#REF!</definedName>
    <definedName name="____SUM2">#REF!</definedName>
    <definedName name="____SUM3">#REF!</definedName>
    <definedName name="____TOP1">#REF!</definedName>
    <definedName name="____TOP2">#REF!</definedName>
    <definedName name="____YR1">#REF!</definedName>
    <definedName name="____YR10">#REF!</definedName>
    <definedName name="____YR11">#REF!</definedName>
    <definedName name="____YR2">#REF!</definedName>
    <definedName name="____YR3">#REF!</definedName>
    <definedName name="____YR4">#REF!</definedName>
    <definedName name="____YR5">#REF!</definedName>
    <definedName name="____YR6">#REF!</definedName>
    <definedName name="____YR7">#REF!</definedName>
    <definedName name="____YR8">#REF!</definedName>
    <definedName name="____YR9">#REF!</definedName>
    <definedName name="___1_0_K" hidden="1">#N/A</definedName>
    <definedName name="___a1" hidden="1">{"Assump",#N/A,TRUE,"Proforma";"first",#N/A,TRUE,"Proforma";"second",#N/A,TRUE,"Proforma";"lease1",#N/A,TRUE,"Proforma";"lease2",#N/A,TRUE,"Proforma"}</definedName>
    <definedName name="___ACT2003">#REF!</definedName>
    <definedName name="___ACT2004">#REF!</definedName>
    <definedName name="___ACT2005">#REF!</definedName>
    <definedName name="___al1" hidden="1">{"sheet a",#N/A,FALSE,"A";"sheet b 1",#N/A,FALSE,"B";"sheet b 2",#N/A,FALSE,"B"}</definedName>
    <definedName name="___BUD2003">#REF!</definedName>
    <definedName name="___BUD2004">#REF!</definedName>
    <definedName name="___BUD2005">#REF!</definedName>
    <definedName name="___CFR1">#REF!</definedName>
    <definedName name="___CFR2">#REF!</definedName>
    <definedName name="___CPI2">#REF!</definedName>
    <definedName name="___dan1" hidden="1">#REF!</definedName>
    <definedName name="___DET1">#REF!</definedName>
    <definedName name="___DET5">#REF!</definedName>
    <definedName name="___IRR1">#REF!</definedName>
    <definedName name="___ky1" hidden="1">#N/A</definedName>
    <definedName name="___max1">#REF!</definedName>
    <definedName name="___max2">#REF!</definedName>
    <definedName name="___Mkt1">#REF!</definedName>
    <definedName name="___Mkt2">#REF!</definedName>
    <definedName name="___Mkt3">#REF!</definedName>
    <definedName name="___old2" hidden="1">{#N/A,#N/A,FALSE,"Summary";#N/A,#N/A,FALSE,"Buckets";#N/A,#N/A,FALSE,"Northstar";#N/A,#N/A,FALSE,"Comp"}</definedName>
    <definedName name="___old3" hidden="1">{#N/A,#N/A,FALSE,"Emmes Services";#N/A,#N/A,FALSE,"Emmes Capital";#N/A,#N/A,FALSE,"Emmes &amp; Co"}</definedName>
    <definedName name="___old4" hidden="1">{#N/A,#N/A,FALSE,"Summary";#N/A,#N/A,FALSE,"Buckets";#N/A,#N/A,FALSE,"Northstar";#N/A,#N/A,FALSE,"Comp"}</definedName>
    <definedName name="___old5" hidden="1">{#N/A,#N/A,FALSE,"Emmes Services";#N/A,#N/A,FALSE,"Emmes Capital";#N/A,#N/A,FALSE,"Emmes &amp; Co"}</definedName>
    <definedName name="___old6" hidden="1">{#N/A,#N/A,FALSE,"Summary";#N/A,#N/A,FALSE,"Buckets";#N/A,#N/A,FALSE,"Northstar";#N/A,#N/A,FALSE,"Comp"}</definedName>
    <definedName name="___RE94">#REF!</definedName>
    <definedName name="___REQ1">#REF!</definedName>
    <definedName name="___RMS01">#REF!</definedName>
    <definedName name="___RMS02">#REF!</definedName>
    <definedName name="___RMS03">#REF!</definedName>
    <definedName name="___RMS04">#REF!</definedName>
    <definedName name="___RMS05">#REF!</definedName>
    <definedName name="___RMS06">#REF!</definedName>
    <definedName name="___RMS07">#REF!</definedName>
    <definedName name="___RMS08">#REF!</definedName>
    <definedName name="___RMS09">#REF!</definedName>
    <definedName name="___RMS10">#REF!</definedName>
    <definedName name="___RMS11">#REF!</definedName>
    <definedName name="___RMS12">#REF!</definedName>
    <definedName name="___RMS13">#REF!</definedName>
    <definedName name="___RMS14">#REF!</definedName>
    <definedName name="___RMS15">#REF!</definedName>
    <definedName name="___seg1">#REF!</definedName>
    <definedName name="___seg2">#REF!</definedName>
    <definedName name="___seg3">#REF!</definedName>
    <definedName name="___seg4">#REF!</definedName>
    <definedName name="___SUM1">#REF!</definedName>
    <definedName name="___SUM2">#REF!</definedName>
    <definedName name="___SUM3">#REF!</definedName>
    <definedName name="___TOP1">#REF!</definedName>
    <definedName name="___TOP2">#REF!</definedName>
    <definedName name="___w" localSheetId="2" hidden="1">{"budget",#N/A,TRUE,"P&amp;L";"budget",#N/A,TRUE,"Fixed_cost";"budget",#N/A,TRUE,"var_cost";"budget",#N/A,TRUE,"Cap_exp";"budget",#N/A,TRUE,"salaries";"budget",#N/A,TRUE,"sales_qty";"budget",#N/A,TRUE,"sales_value";"budget",#N/A,TRUE,"COS";"budget",#N/A,TRUE,"margin"}</definedName>
    <definedName name="___w" hidden="1">{"budget",#N/A,TRUE,"P&amp;L";"budget",#N/A,TRUE,"Fixed_cost";"budget",#N/A,TRUE,"var_cost";"budget",#N/A,TRUE,"Cap_exp";"budget",#N/A,TRUE,"salaries";"budget",#N/A,TRUE,"sales_qty";"budget",#N/A,TRUE,"sales_value";"budget",#N/A,TRUE,"COS";"budget",#N/A,TRUE,"margin"}</definedName>
    <definedName name="___xlfn.BAHTTEXT" hidden="1">#NAME?</definedName>
    <definedName name="___YR1">#REF!</definedName>
    <definedName name="___YR10">#REF!</definedName>
    <definedName name="___YR11">#REF!</definedName>
    <definedName name="___YR2">#REF!</definedName>
    <definedName name="___YR3">#REF!</definedName>
    <definedName name="___YR4">#REF!</definedName>
    <definedName name="___YR5">#REF!</definedName>
    <definedName name="___YR6">#REF!</definedName>
    <definedName name="___YR7">#REF!</definedName>
    <definedName name="___YR8">#REF!</definedName>
    <definedName name="___YR9">#REF!</definedName>
    <definedName name="__1__123Graph_ACHART_1" hidden="1">#REF!</definedName>
    <definedName name="__1_0_K" hidden="1">#N/A</definedName>
    <definedName name="__10__123Graph_FCHART_1" hidden="1">#REF!</definedName>
    <definedName name="__11__123Graph_XCHART_2" hidden="1">#REF!</definedName>
    <definedName name="__11_8_0_S" hidden="1">#N/A</definedName>
    <definedName name="__123Graph_A" hidden="1">#REF!</definedName>
    <definedName name="__123Graph_AEINS" hidden="1">#REF!</definedName>
    <definedName name="__123Graph_B" hidden="1">#REF!</definedName>
    <definedName name="__123Graph_BEINS" hidden="1">#REF!</definedName>
    <definedName name="__123Graph_C" hidden="1">#REF!</definedName>
    <definedName name="__123Graph_CCURRENT" hidden="1">#REF!</definedName>
    <definedName name="__123Graph_CEINS" hidden="1">#REF!</definedName>
    <definedName name="__123Graph_D" hidden="1">#REF!</definedName>
    <definedName name="__123Graph_DCURRENT" hidden="1">#REF!</definedName>
    <definedName name="__123Graph_DEINS" hidden="1">#REF!</definedName>
    <definedName name="__123Graph_E" hidden="1">#REF!</definedName>
    <definedName name="__123Graph_F" hidden="1">#REF!</definedName>
    <definedName name="__123Graph_LBL_A" hidden="1">#REF!</definedName>
    <definedName name="__123Graph_LBL_AEINS" hidden="1">#REF!</definedName>
    <definedName name="__123Graph_LBL_BEINS" hidden="1">#REF!</definedName>
    <definedName name="__123Graph_LBL_CEINS" hidden="1">#REF!</definedName>
    <definedName name="__123Graph_LBL_DEINS" hidden="1">#REF!</definedName>
    <definedName name="__123Graph_X" hidden="1">#REF!</definedName>
    <definedName name="__123Graph_XEINS" hidden="1">#REF!</definedName>
    <definedName name="__123Graph_XMAIN" hidden="1">#REF!</definedName>
    <definedName name="__123Graph_XMAINX" hidden="1">#REF!</definedName>
    <definedName name="__18_8_0_S" hidden="1">#N/A</definedName>
    <definedName name="__19_8_0_S" hidden="1">#N/A</definedName>
    <definedName name="__2__123Graph_ACHART_2" hidden="1">#REF!</definedName>
    <definedName name="__3__123Graph_BCHART_1" hidden="1">#REF!</definedName>
    <definedName name="__4__123Graph_BCHART_2" hidden="1">#REF!</definedName>
    <definedName name="__4__123Graph_XCHART_1" hidden="1">#REF!</definedName>
    <definedName name="__5__123Graph_CCHART_1" hidden="1">#REF!</definedName>
    <definedName name="__5__123Graph_XCHART_2" hidden="1">#REF!</definedName>
    <definedName name="__6__123Graph_CCHART_2" hidden="1">#REF!</definedName>
    <definedName name="__7__123Graph_DCHART_1" hidden="1">#REF!</definedName>
    <definedName name="__7_8_0_S" hidden="1">#N/A</definedName>
    <definedName name="__8__123Graph_DCHART_2" hidden="1">#REF!</definedName>
    <definedName name="__9__123Graph_ECHART_1" hidden="1">#REF!</definedName>
    <definedName name="__a1" hidden="1">{"Assump",#N/A,TRUE,"Proforma";"first",#N/A,TRUE,"Proforma";"second",#N/A,TRUE,"Proforma";"lease1",#N/A,TRUE,"Proforma";"lease2",#N/A,TRUE,"Proforma"}</definedName>
    <definedName name="__ACT2003">#REF!</definedName>
    <definedName name="__ACT2004">#REF!</definedName>
    <definedName name="__ACT2005">#REF!</definedName>
    <definedName name="__al1" hidden="1">{"sheet a",#N/A,FALSE,"A";"sheet b 1",#N/A,FALSE,"B";"sheet b 2",#N/A,FALSE,"B"}</definedName>
    <definedName name="__BUD2003">#REF!</definedName>
    <definedName name="__BUD2004">#REF!</definedName>
    <definedName name="__BUD2005">#REF!</definedName>
    <definedName name="__CFR1">#REF!</definedName>
    <definedName name="__CFR2">#REF!</definedName>
    <definedName name="__CPI2">#REF!</definedName>
    <definedName name="__dan1" hidden="1">#REF!</definedName>
    <definedName name="__DET1">#REF!</definedName>
    <definedName name="__DET5">#REF!</definedName>
    <definedName name="__FDS_HYPERLINK_TOGGLE_STATE__" hidden="1">"ON"</definedName>
    <definedName name="__IntlFixup" hidden="1">TRUE</definedName>
    <definedName name="__IRR1">#REF!</definedName>
    <definedName name="__jo2" hidden="1">{#N/A,#N/A,FALSE,"DCF-COM";#N/A,#N/A,FALSE,"VAC-COM"}</definedName>
    <definedName name="__jo3" hidden="1">{"CASHFLOW",#N/A,FALSE,"Northpointe"}</definedName>
    <definedName name="__jo4" hidden="1">{#N/A,#N/A,FALSE,"SHEET1";#N/A,#N/A,FALSE,"SHEET2";#N/A,#N/A,FALSE,"SHEET3";#N/A,#N/A,FALSE,"SHEET4"}</definedName>
    <definedName name="__ky1" hidden="1">#N/A</definedName>
    <definedName name="__Lex1">#REF!</definedName>
    <definedName name="__max1">#REF!</definedName>
    <definedName name="__max2">#REF!</definedName>
    <definedName name="__MEN1">#REF!</definedName>
    <definedName name="__MEN2">#REF!</definedName>
    <definedName name="__Mkt1">#REF!</definedName>
    <definedName name="__Mkt2">#REF!</definedName>
    <definedName name="__Mkt3">#REF!</definedName>
    <definedName name="__MTD34">#REF!</definedName>
    <definedName name="__MTD35">#REF!</definedName>
    <definedName name="__old2" hidden="1">{#N/A,#N/A,FALSE,"Summary";#N/A,#N/A,FALSE,"Buckets";#N/A,#N/A,FALSE,"Northstar";#N/A,#N/A,FALSE,"Comp"}</definedName>
    <definedName name="__old3" hidden="1">{#N/A,#N/A,FALSE,"Emmes Services";#N/A,#N/A,FALSE,"Emmes Capital";#N/A,#N/A,FALSE,"Emmes &amp; Co"}</definedName>
    <definedName name="__old4" hidden="1">{#N/A,#N/A,FALSE,"Summary";#N/A,#N/A,FALSE,"Buckets";#N/A,#N/A,FALSE,"Northstar";#N/A,#N/A,FALSE,"Comp"}</definedName>
    <definedName name="__old5" hidden="1">{#N/A,#N/A,FALSE,"Emmes Services";#N/A,#N/A,FALSE,"Emmes Capital";#N/A,#N/A,FALSE,"Emmes &amp; Co"}</definedName>
    <definedName name="__old6" hidden="1">{#N/A,#N/A,FALSE,"Summary";#N/A,#N/A,FALSE,"Buckets";#N/A,#N/A,FALSE,"Northstar";#N/A,#N/A,FALSE,"Comp"}</definedName>
    <definedName name="__RE94">#REF!</definedName>
    <definedName name="__REQ1">#REF!</definedName>
    <definedName name="__RMS01">#REF!</definedName>
    <definedName name="__RMS02">#REF!</definedName>
    <definedName name="__RMS03">#REF!</definedName>
    <definedName name="__RMS04">#REF!</definedName>
    <definedName name="__RMS05">#REF!</definedName>
    <definedName name="__RMS06">#REF!</definedName>
    <definedName name="__RMS07">#REF!</definedName>
    <definedName name="__RMS08">#REF!</definedName>
    <definedName name="__RMS09">#REF!</definedName>
    <definedName name="__RMS10">#REF!</definedName>
    <definedName name="__RMS11">#REF!</definedName>
    <definedName name="__RMS12">#REF!</definedName>
    <definedName name="__RMS13">#REF!</definedName>
    <definedName name="__RMS14">#REF!</definedName>
    <definedName name="__RMS15">#REF!</definedName>
    <definedName name="__RMS16">#REF!</definedName>
    <definedName name="__RMS17">#REF!</definedName>
    <definedName name="__RMS18">#REF!</definedName>
    <definedName name="__RMS19">#REF!</definedName>
    <definedName name="__RMS20">#REF!</definedName>
    <definedName name="__RMS21">#REF!</definedName>
    <definedName name="__RMS22">#REF!</definedName>
    <definedName name="__RMS23">#REF!</definedName>
    <definedName name="__RMS24">#REF!</definedName>
    <definedName name="__RMS25">#REF!</definedName>
    <definedName name="__RMS26">#REF!</definedName>
    <definedName name="__RMS27">#REF!</definedName>
    <definedName name="__RMS28">#REF!</definedName>
    <definedName name="__RMS29">#REF!</definedName>
    <definedName name="__RMS30">#REF!</definedName>
    <definedName name="__RMS31">#REF!</definedName>
    <definedName name="__seg1">#REF!</definedName>
    <definedName name="__seg2">#REF!</definedName>
    <definedName name="__seg3">#REF!</definedName>
    <definedName name="__seg4">#REF!</definedName>
    <definedName name="__SUM1">#REF!</definedName>
    <definedName name="__SUM2">#REF!</definedName>
    <definedName name="__SUM3">#REF!</definedName>
    <definedName name="__TOP1">#REF!</definedName>
    <definedName name="__TOP2">#REF!</definedName>
    <definedName name="__w" localSheetId="2" hidden="1">{"budget",#N/A,TRUE,"P&amp;L";"budget",#N/A,TRUE,"Fixed_cost";"budget",#N/A,TRUE,"var_cost";"budget",#N/A,TRUE,"Cap_exp";"budget",#N/A,TRUE,"salaries";"budget",#N/A,TRUE,"sales_qty";"budget",#N/A,TRUE,"sales_value";"budget",#N/A,TRUE,"COS";"budget",#N/A,TRUE,"margin"}</definedName>
    <definedName name="__w" hidden="1">{"budget",#N/A,TRUE,"P&amp;L";"budget",#N/A,TRUE,"Fixed_cost";"budget",#N/A,TRUE,"var_cost";"budget",#N/A,TRUE,"Cap_exp";"budget",#N/A,TRUE,"salaries";"budget",#N/A,TRUE,"sales_qty";"budget",#N/A,TRUE,"sales_value";"budget",#N/A,TRUE,"COS";"budget",#N/A,TRUE,"margin"}</definedName>
    <definedName name="__wrn2" hidden="1">{"TB_PR","50",FALSE,"PR_TRIAL_BALANCE";"TB_PR","51",FALSE,"PR_TRIAL_BALANCE";"TB_PR","52",FALSE,"PR_TRIAL_BALANCE";"TB_PR","53",FALSE,"PR_TRIAL_BALANCE";"TB_PR","54",FALSE,"PR_TRIAL_BALANCE";"TB_PR","55",FALSE,"PR_TRIAL_BALANCE";"TB_PR","56",FALSE,"PR_TRIAL_BALANCE";"TB_PR","57",FALSE,"PR_TRIAL_BALANCE";"TB_PR","61",FALSE,"PR_TRIAL_BALANCE";"TB_PR","63",FALSE,"PR_TRIAL_BALANCE";"TB_PR","65",FALSE,"PR_TRIAL_BALANCE";"TB_PR","66",FALSE,"PR_TRIAL_BALANCE"}</definedName>
    <definedName name="__wrn3" hidden="1">{#N/A,#N/A,FALSE,"Cash Flow";#N/A,#N/A,FALSE,"FFO";#N/A,#N/A,FALSE,"Dvlpt Assumptions";#N/A,#N/A,FALSE,"Equity &amp; Constr Financing";#N/A,#N/A,FALSE,"JV Fee Analysis - cash";#N/A,#N/A,FALSE,"JV Fee Analysis - GAAP";#N/A,#N/A,FALSE,"Prop CF Adj";#N/A,#N/A,FALSE,"Land Sales";#N/A,#N/A,FALSE,"Capex, existing";#N/A,#N/A,FALSE,"Capex,97 Budget";#N/A,#N/A,FALSE,"Capex, dvlpt";#N/A,#N/A,FALSE,"Cap overhead";#N/A,#N/A,FALSE,"Project Equity";#N/A,#N/A,FALSE,"Leasing Fees";#N/A,#N/A,FALSE,"Debt";#N/A,#N/A,FALSE,"Capitalized Interest";#N/A,#N/A,FALSE,"FF&amp; E Loan";#N/A,#N/A,FALSE,"Strip loan";#N/A,#N/A,FALSE,"Franklin Loan";#N/A,#N/A,FALSE,"Poto_Gurn Amortiz";#N/A,#N/A,FALSE,"Dividend Distr";#N/A,#N/A,FALSE,"Investment in Partnerships";#N/A,#N/A,FALSE,"JV Ops Cash Flow Adj.";#N/A,#N/A,FALSE,"Ontario";#N/A,#N/A,FALSE,"Ontario-Proj";#N/A,#N/A,FALSE,"Ont Debt";#N/A,#N/A,FALSE,"Grapevine";#N/A,#N/A,FALSE,"Grapevine-Proj";#N/A,#N/A,FALSE,"Arizona";#N/A,#N/A,FALSE,"Arizona - Proj";#N/A,#N/A,FALSE,"Sawgrass Ph III";#N/A,#N/A,FALSE,"Saw Phase III-Proj";#N/A,#N/A,FALSE,"City Center";#N/A,#N/A,FALSE,"City Center-Proj";#N/A,#N/A,FALSE,"Columbus";#N/A,#N/A,FALSE,"Columbus-Proj";#N/A,#N/A,FALSE,"Atlanta";#N/A,#N/A,FALSE,"Atlanta-Proj";#N/A,#N/A,FALSE,"Monee";#N/A,#N/A,FALSE,"Monee-Proj";#N/A,#N/A,FALSE,"Houston";#N/A,#N/A,FALSE,"Houston-Proj";#N/A,#N/A,FALSE,"San Francisco";#N/A,#N/A,FALSE,"San Francisco-Proj";#N/A,#N/A,FALSE,"Meadowlands";#N/A,#N/A,FALSE,"Meadowlands-Proj";#N/A,#N/A,FALSE,"Toronto";#N/A,#N/A,FALSE,"Toronto-Proj"}</definedName>
    <definedName name="__xlfn.BAHTTEXT" hidden="1">#NAME?</definedName>
    <definedName name="__xlfn.SUMIFS" hidden="1">#NAME?</definedName>
    <definedName name="__YR1">#REF!</definedName>
    <definedName name="__YR10">#REF!</definedName>
    <definedName name="__YR11">#REF!</definedName>
    <definedName name="__yr12">#REF!</definedName>
    <definedName name="__yr13">#REF!</definedName>
    <definedName name="__yr14">#REF!</definedName>
    <definedName name="__yr15">#REF!</definedName>
    <definedName name="__yr16">#REF!</definedName>
    <definedName name="__YR2">#REF!</definedName>
    <definedName name="__YR3">#REF!</definedName>
    <definedName name="__YR4">#REF!</definedName>
    <definedName name="__YR5">#REF!</definedName>
    <definedName name="__YR6">#REF!</definedName>
    <definedName name="__YR7">#REF!</definedName>
    <definedName name="__YR8">#REF!</definedName>
    <definedName name="__YR9">#REF!</definedName>
    <definedName name="_1">#REF!</definedName>
    <definedName name="_1______0BALSH1">#REF!</definedName>
    <definedName name="_1____123Graph_ACHART_1A" hidden="1">#REF!</definedName>
    <definedName name="_1__123Graph_ACHART_1" hidden="1">#REF!</definedName>
    <definedName name="_1__123Graph_ACHART_12" hidden="1">#REF!</definedName>
    <definedName name="_1_0_K" hidden="1">#N/A</definedName>
    <definedName name="_10___123Graph_BCHART_2A" hidden="1">#REF!</definedName>
    <definedName name="_10__123Graph_BCHART_16" hidden="1">#REF!</definedName>
    <definedName name="_10__123Graph_CCHART_1" hidden="1">#REF!</definedName>
    <definedName name="_10__123Graph_FCHART_1" hidden="1">#REF!</definedName>
    <definedName name="_10_8_0_S" hidden="1">#N/A</definedName>
    <definedName name="_100__123Graph_XCHART_2" hidden="1">#REF!</definedName>
    <definedName name="_108__123Graph_BCHART_22" hidden="1">#REF!</definedName>
    <definedName name="_11___123Graph_XCHART_1A" hidden="1">#REF!</definedName>
    <definedName name="_11__123Graph_BCHART_17" hidden="1">#REF!</definedName>
    <definedName name="_11__123Graph_CCHART_2" hidden="1">#REF!</definedName>
    <definedName name="_11__123Graph_DCHART_1" hidden="1">#REF!</definedName>
    <definedName name="_11__123Graph_XCHART_2" hidden="1">#REF!</definedName>
    <definedName name="_11_8_0_S" hidden="1">#N/A</definedName>
    <definedName name="_117__123Graph_CCHART_15" hidden="1">#REF!</definedName>
    <definedName name="_12_______123Graph_BCHART_1" hidden="1">#REF!</definedName>
    <definedName name="_12___123Graph_XCHART_2A" hidden="1">#REF!</definedName>
    <definedName name="_12__123Graph_BCHART_1" hidden="1">#REF!</definedName>
    <definedName name="_12__123Graph_BCHART_22" hidden="1">#REF!</definedName>
    <definedName name="_12__123Graph_ECHART_1" hidden="1">#REF!</definedName>
    <definedName name="_12_8_0_S" hidden="1">#N/A</definedName>
    <definedName name="_1234444499" hidden="1">#REF!</definedName>
    <definedName name="_123gRAPH_XMAIN2" hidden="1">#REF!</definedName>
    <definedName name="_124Graph_E" hidden="1">#REF!</definedName>
    <definedName name="_126__123Graph_CCHART_16" hidden="1">#REF!</definedName>
    <definedName name="_13__123Graph_ACHART_1A" hidden="1">#REF!</definedName>
    <definedName name="_13__123Graph_CCHART_15" hidden="1">#REF!</definedName>
    <definedName name="_13__123Graph_FCHART_1" hidden="1">#REF!</definedName>
    <definedName name="_13_8_0_S" hidden="1">#N/A</definedName>
    <definedName name="_135__123Graph_CCHART_17" hidden="1">#REF!</definedName>
    <definedName name="_14__123Graph_ACHART_2A" hidden="1">#REF!</definedName>
    <definedName name="_14__123Graph_CCHART_16" hidden="1">#REF!</definedName>
    <definedName name="_14__123Graph_DCHART_1" hidden="1">#REF!</definedName>
    <definedName name="_14__123Graph_LBL_ACHART_2" hidden="1">#REF!</definedName>
    <definedName name="_14_8_0_S" hidden="1">#N/A</definedName>
    <definedName name="_144__123Graph_CCHART_22" hidden="1">#REF!</definedName>
    <definedName name="_15__123Graph_BCHART_1A" hidden="1">#REF!</definedName>
    <definedName name="_15__123Graph_CCHART_17" hidden="1">#REF!</definedName>
    <definedName name="_15__123Graph_ECHART_1" hidden="1">#REF!</definedName>
    <definedName name="_153__123Graph_CSEG_PIE" hidden="1">#REF!</definedName>
    <definedName name="_16_______123Graph_XCHART_1" hidden="1">#REF!</definedName>
    <definedName name="_16__123Graph_BCHART_2A" hidden="1">#REF!</definedName>
    <definedName name="_16__123Graph_CCHART_22" hidden="1">#REF!</definedName>
    <definedName name="_16__123Graph_FCHART_1" hidden="1">#REF!</definedName>
    <definedName name="_16__123Graph_LBL_ACHART_4" hidden="1">#REF!</definedName>
    <definedName name="_16__123Graph_XCHART_1" hidden="1">#REF!</definedName>
    <definedName name="_16_8_0_S" hidden="1">#N/A</definedName>
    <definedName name="_162__123Graph_DCHART_15" hidden="1">#REF!</definedName>
    <definedName name="_17__123Graph_CSEG_PIE" hidden="1">#REF!</definedName>
    <definedName name="_17__123Graph_LBL_ACHART_2" hidden="1">#REF!</definedName>
    <definedName name="_17__123Graph_LBL_BCHART_2" hidden="1">#REF!</definedName>
    <definedName name="_17__123Graph_XCHART_1A" hidden="1">#REF!</definedName>
    <definedName name="_17_8_0_S" hidden="1">#N/A</definedName>
    <definedName name="_171__123Graph_DCHART_16" hidden="1">#REF!</definedName>
    <definedName name="_18__123Graph_ACHART_15" hidden="1">#REF!</definedName>
    <definedName name="_18__123Graph_ACHART_2" hidden="1">#REF!</definedName>
    <definedName name="_18__123Graph_DCHART_15" hidden="1">#REF!</definedName>
    <definedName name="_18__123Graph_XCHART_2A" hidden="1">#REF!</definedName>
    <definedName name="_18_8_0_S" hidden="1">#N/A</definedName>
    <definedName name="_180__123Graph_DCHART_17" hidden="1">#REF!</definedName>
    <definedName name="_189__123Graph_DCHART_22" hidden="1">#REF!</definedName>
    <definedName name="_19__123Graph_DCHART_16" hidden="1">#REF!</definedName>
    <definedName name="_19__123Graph_LBL_CCHART_2" hidden="1">#REF!</definedName>
    <definedName name="_19_8_0_S" hidden="1">#N/A</definedName>
    <definedName name="_198__123Graph_ECHART_15" hidden="1">#REF!</definedName>
    <definedName name="_1K" hidden="1">#REF!</definedName>
    <definedName name="_1SCHEDULE_3">#REF!</definedName>
    <definedName name="_2">#REF!</definedName>
    <definedName name="_2_____0BALSH1">#REF!</definedName>
    <definedName name="_2____123Graph_ACHART_2A" hidden="1">#REF!</definedName>
    <definedName name="_2___0_K" hidden="1">#N/A</definedName>
    <definedName name="_2__123Graph_ACHART_1" hidden="1">#REF!</definedName>
    <definedName name="_2__123Graph_ACHART_15" hidden="1">#REF!</definedName>
    <definedName name="_2__123Graph_ACHART_2" hidden="1">#REF!</definedName>
    <definedName name="_2__123Graph_ACHART_2A" hidden="1">#REF!</definedName>
    <definedName name="_2_0__123Grap" hidden="1">#REF!</definedName>
    <definedName name="_2_0_K" hidden="1">#N/A</definedName>
    <definedName name="_2_8_0_S" hidden="1">#N/A</definedName>
    <definedName name="_20_______123Graph_XCHART_2" hidden="1">#REF!</definedName>
    <definedName name="_20__123Graph_DCHART_17" hidden="1">#REF!</definedName>
    <definedName name="_20__123Graph_LBL_ACHART_4" hidden="1">#REF!</definedName>
    <definedName name="_20__123Graph_XCHART_2" hidden="1">#REF!</definedName>
    <definedName name="_2000">#REF!</definedName>
    <definedName name="_207__123Graph_ECHART_16" hidden="1">#REF!</definedName>
    <definedName name="_20IQ_POLICĎĎ__ĘĘ__TS" hidden="1">"c1036"</definedName>
    <definedName name="_21__123Graph_DCHART_22" hidden="1">#REF!</definedName>
    <definedName name="_21__123Graph_LBL_BCHART_2" hidden="1">#REF!</definedName>
    <definedName name="_21_8_0_S" hidden="1">#N/A</definedName>
    <definedName name="_216__123Graph_ECHART_17" hidden="1">#REF!</definedName>
    <definedName name="_22__123Graph_ECHART_15" hidden="1">#REF!</definedName>
    <definedName name="_225__123Graph_ECHART_22" hidden="1">#REF!</definedName>
    <definedName name="_23__123Graph_ECHART_16" hidden="1">#REF!</definedName>
    <definedName name="_23_8_0_S" hidden="1">#N/A</definedName>
    <definedName name="_234__123Graph_FCHART_15" hidden="1">#REF!</definedName>
    <definedName name="_24______123Graph_ACHART_1" hidden="1">#REF!</definedName>
    <definedName name="_24__123Graph_ECHART_17" hidden="1">#REF!</definedName>
    <definedName name="_24__123Graph_LBL_CCHART_2" hidden="1">#REF!</definedName>
    <definedName name="_24_8_0_S" hidden="1">#N/A</definedName>
    <definedName name="_243__123Graph_FCHART_16" hidden="1">#REF!</definedName>
    <definedName name="_25__123Graph_ECHART_22" hidden="1">#REF!</definedName>
    <definedName name="_252__123Graph_FCHART_17" hidden="1">#REF!</definedName>
    <definedName name="_25yr_term">#REF!</definedName>
    <definedName name="_25yr_term2">#REF!</definedName>
    <definedName name="_26__123Graph_FCHART_15" hidden="1">#REF!</definedName>
    <definedName name="_26_8_0_S" hidden="1">#N/A</definedName>
    <definedName name="_261__123Graph_FCHART_22" hidden="1">#REF!</definedName>
    <definedName name="_27__123Graph_ACHART_16" hidden="1">#REF!</definedName>
    <definedName name="_27__123Graph_BCHART_1" hidden="1">#REF!</definedName>
    <definedName name="_27__123Graph_FCHART_16" hidden="1">#REF!</definedName>
    <definedName name="_270__123Graph_XCHART_15" hidden="1">#REF!</definedName>
    <definedName name="_279__123Graph_XCHART_16" hidden="1">#REF!</definedName>
    <definedName name="_28______123Graph_ACHART_2" hidden="1">#REF!</definedName>
    <definedName name="_28__123Graph_FCHART_17" hidden="1">#REF!</definedName>
    <definedName name="_288__123Graph_XCHART_17" hidden="1">#REF!</definedName>
    <definedName name="_29__123Graph_FCHART_22" hidden="1">#REF!</definedName>
    <definedName name="_297__123Graph_XCHART_18" hidden="1">#REF!</definedName>
    <definedName name="_2ƒ0ACwvu.Sommai" hidden="1">#REF!,#REF!,#REF!,#REF!,#REF!,#REF!</definedName>
    <definedName name="_2SCHEDULE_4">#REF!</definedName>
    <definedName name="_3">#REF!</definedName>
    <definedName name="_3____0BALSH1">#REF!</definedName>
    <definedName name="_3____123Graph_BCHART_1A" hidden="1">#REF!</definedName>
    <definedName name="_3___0_K" hidden="1">#N/A</definedName>
    <definedName name="_3__123Graph_ACHART_16" hidden="1">#REF!</definedName>
    <definedName name="_3__123Graph_BCHART_1" hidden="1">#REF!</definedName>
    <definedName name="_3__123Graph_BCHART_1A" hidden="1">#REF!</definedName>
    <definedName name="_3__123Graph_XCHART_1" hidden="1">#REF!</definedName>
    <definedName name="_3_0__123Grap" hidden="1">#REF!</definedName>
    <definedName name="_3_0_K" hidden="1">#N/A</definedName>
    <definedName name="_3_M_LIBOR">#REF!</definedName>
    <definedName name="_30__123Graph_XCHART_15" hidden="1">#REF!</definedName>
    <definedName name="_30_360">#REF!</definedName>
    <definedName name="_306__123Graph_XCHART_19" hidden="1">#REF!</definedName>
    <definedName name="_31__123Graph_XCHART_16" hidden="1">#REF!</definedName>
    <definedName name="_315__123Graph_XCHART_22" hidden="1">#REF!</definedName>
    <definedName name="_32______123Graph_BCHART_1" hidden="1">#REF!</definedName>
    <definedName name="_32__123Graph_XCHART_17" hidden="1">#REF!</definedName>
    <definedName name="_32_8_0_S" hidden="1">#N/A</definedName>
    <definedName name="_324__123Graph_XSEG_PIE" hidden="1">#REF!</definedName>
    <definedName name="_33__123Graph_XCHART_18" hidden="1">#REF!</definedName>
    <definedName name="_34__123Graph_XCHART_19" hidden="1">#REF!</definedName>
    <definedName name="_35__123Graph_XCHART_22" hidden="1">#REF!</definedName>
    <definedName name="_36______123Graph_XCHART_1" hidden="1">#REF!</definedName>
    <definedName name="_36__123Graph_ACHART_17" hidden="1">#REF!</definedName>
    <definedName name="_36__123Graph_XCHART_1" hidden="1">#REF!</definedName>
    <definedName name="_36__123Graph_XSEG_PIE" hidden="1">#REF!</definedName>
    <definedName name="_36_8_0_S" hidden="1">#N/A</definedName>
    <definedName name="_38_8_0_S" hidden="1">#N/A</definedName>
    <definedName name="_4">#REF!</definedName>
    <definedName name="_4_______123Graph_ACHART_1" hidden="1">#REF!</definedName>
    <definedName name="_4____123Graph_BCHART_2A" hidden="1">#REF!</definedName>
    <definedName name="_4___0BALSH1">#REF!</definedName>
    <definedName name="_4__123Graph_ACHART_1" hidden="1">#REF!</definedName>
    <definedName name="_4__123Graph_ACHART_17" hidden="1">#REF!</definedName>
    <definedName name="_4__123Graph_ACHART_4" hidden="1">#REF!</definedName>
    <definedName name="_4__123Graph_BCHART_2" hidden="1">#REF!</definedName>
    <definedName name="_4__123Graph_BCHART_2A" hidden="1">#REF!</definedName>
    <definedName name="_4__123Graph_XCHART_1" hidden="1">#REF!</definedName>
    <definedName name="_4_8___S" hidden="1">#REF!</definedName>
    <definedName name="_40______123Graph_XCHART_2" hidden="1">#REF!</definedName>
    <definedName name="_421_A_Term">#REF!</definedName>
    <definedName name="_44_____123Graph_ACHART_1" hidden="1">#REF!</definedName>
    <definedName name="_45__123Graph_ACHART_18" hidden="1">#REF!</definedName>
    <definedName name="_45__123Graph_XCHART_2" hidden="1">#REF!</definedName>
    <definedName name="_45_8_0_S" hidden="1">#N/A</definedName>
    <definedName name="_456" hidden="1">#REF!</definedName>
    <definedName name="_4789" hidden="1">#REF!</definedName>
    <definedName name="_48_____123Graph_ACHART_2" hidden="1">#REF!</definedName>
    <definedName name="_4ƒ0Swvu.Sommai" hidden="1">#REF!,#REF!,#REF!,#REF!,#REF!,#REF!</definedName>
    <definedName name="_5____123Graph_XCHART_1A" hidden="1">#REF!</definedName>
    <definedName name="_5__123Graph_ACHART_18" hidden="1">#REF!</definedName>
    <definedName name="_5__123Graph_ACHART_4" hidden="1">#REF!</definedName>
    <definedName name="_5__123Graph_BCHART_1" hidden="1">#REF!</definedName>
    <definedName name="_5__123Graph_CCHART_1" hidden="1">#REF!</definedName>
    <definedName name="_5__123Graph_XCHART_1A" hidden="1">#REF!</definedName>
    <definedName name="_5__123Graph_XCHART_2" hidden="1">#REF!</definedName>
    <definedName name="_5_0BALSH1">#REF!</definedName>
    <definedName name="_5_8_0_S" hidden="1">#N/A</definedName>
    <definedName name="_52_____123Graph_BCHART_1" hidden="1">#REF!</definedName>
    <definedName name="_54__123Graph_ACHART_19" hidden="1">#REF!</definedName>
    <definedName name="_56_____123Graph_XCHART_1" hidden="1">#REF!</definedName>
    <definedName name="_6____123Graph_XCHART_2A" hidden="1">#REF!</definedName>
    <definedName name="_6__123Graph_ACHART_19" hidden="1">#REF!</definedName>
    <definedName name="_6__123Graph_BCHART_1" hidden="1">#REF!</definedName>
    <definedName name="_6__123Graph_BCHART_2" hidden="1">#REF!</definedName>
    <definedName name="_6__123Graph_CCHART_2" hidden="1">#REF!</definedName>
    <definedName name="_6__123Graph_XCHART_2A" hidden="1">#REF!</definedName>
    <definedName name="_6_0_Table2_" hidden="1">#REF!</definedName>
    <definedName name="_6_8_0_S" hidden="1">#N/A</definedName>
    <definedName name="_60_____123Graph_XCHART_2" hidden="1">#REF!</definedName>
    <definedName name="_63__123Graph_ACHART_21" hidden="1">#REF!</definedName>
    <definedName name="_64____123Graph_ACHART_1" hidden="1">#REF!</definedName>
    <definedName name="_68____123Graph_ACHART_2" hidden="1">#REF!</definedName>
    <definedName name="_6p0Rwvu.Sommai" hidden="1">#REF!,#REF!,#REF!,#REF!,#REF!</definedName>
    <definedName name="_7___123Graph_ACHART_1A" hidden="1">#REF!</definedName>
    <definedName name="_7__123Graph_ACHART_21" hidden="1">#REF!</definedName>
    <definedName name="_7__123Graph_BCHART_2" hidden="1">#REF!</definedName>
    <definedName name="_7__123Graph_DCHART_1" hidden="1">#REF!</definedName>
    <definedName name="_7_0_Table2_" hidden="1">#REF!</definedName>
    <definedName name="_7_8_0_S" hidden="1">#N/A</definedName>
    <definedName name="_704B">#REF!</definedName>
    <definedName name="_72____123Graph_BCHART_1" hidden="1">#REF!</definedName>
    <definedName name="_72__123Graph_ASEG_PIE" hidden="1">#REF!</definedName>
    <definedName name="_74_0BALSH1">#REF!</definedName>
    <definedName name="_75_0BALSH1">#REF!</definedName>
    <definedName name="_76____123Graph_XCHART_1" hidden="1">#REF!</definedName>
    <definedName name="_8_______123Graph_ACHART_2" hidden="1">#REF!</definedName>
    <definedName name="_8___123Graph_ACHART_2A" hidden="1">#REF!</definedName>
    <definedName name="_8__123Graph_ACHART_2" hidden="1">#REF!</definedName>
    <definedName name="_8__123Graph_ASEG_PIE" hidden="1">#REF!</definedName>
    <definedName name="_8__123Graph_CCHART_1" hidden="1">#REF!</definedName>
    <definedName name="_8__123Graph_DCHART_2" hidden="1">#REF!</definedName>
    <definedName name="_8_8_0_S" hidden="1">#N/A</definedName>
    <definedName name="_80____123Graph_XCHART_2" hidden="1">#REF!</definedName>
    <definedName name="_81__123Graph_BCHART_15" hidden="1">#REF!</definedName>
    <definedName name="_84__123Graph_ACHART_1" hidden="1">#REF!</definedName>
    <definedName name="_88__123Graph_ACHART_2" hidden="1">#REF!</definedName>
    <definedName name="_8SCHEDULE_4">#REF!</definedName>
    <definedName name="_9___123Graph_BCHART_1A" hidden="1">#REF!</definedName>
    <definedName name="_9__123Graph_ACHART_1" hidden="1">#REF!</definedName>
    <definedName name="_9__123Graph_ACHART_12" hidden="1">#REF!</definedName>
    <definedName name="_9__123Graph_BCHART_15" hidden="1">#REF!</definedName>
    <definedName name="_9__123Graph_CCHART_2" hidden="1">#REF!</definedName>
    <definedName name="_9__123Graph_ECHART_1" hidden="1">#REF!</definedName>
    <definedName name="_9_8_0_S" hidden="1">#N/A</definedName>
    <definedName name="_90__123Graph_BCHART_16" hidden="1">#REF!</definedName>
    <definedName name="_92__123Graph_BCHART_1" hidden="1">#REF!</definedName>
    <definedName name="_96">#REF!</definedName>
    <definedName name="_96__123Graph_XCHART_1" hidden="1">#REF!</definedName>
    <definedName name="_97">#REF!</definedName>
    <definedName name="_98">#REF!</definedName>
    <definedName name="_99__123Graph_BCHART_17" hidden="1">#REF!</definedName>
    <definedName name="_a1" hidden="1">{"Assump",#N/A,TRUE,"Proforma";"first",#N/A,TRUE,"Proforma";"second",#N/A,TRUE,"Proforma";"lease1",#N/A,TRUE,"Proforma";"lease2",#N/A,TRUE,"Proforma"}</definedName>
    <definedName name="_a2" hidden="1">{"sheet a",#N/A,FALSE,"A";"2 9 casflow",#N/A,FALSE,"B"}</definedName>
    <definedName name="_ACT2003">#REF!</definedName>
    <definedName name="_ACT2004">#REF!</definedName>
    <definedName name="_ACT2005">#REF!</definedName>
    <definedName name="_al1" hidden="1">{"sheet a",#N/A,FALSE,"A";"sheet b 1",#N/A,FALSE,"B";"sheet b 2",#N/A,FALSE,"B"}</definedName>
    <definedName name="_AMO_XmlVersion" hidden="1">"'1'"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_AVB2" hidden="1">{"page1",#N/A,FALSE,"PROFORMA";"page2",#N/A,FALSE,"PROFORMA";"page3",#N/A,FALSE,"PROFORMA";"page4",#N/A,FALSE,"PROFORMA";"page5",#N/A,FALSE,"PROFORMA";"page6",#N/A,FALSE,"PROFORMA";"page7",#N/A,FALSE,"PROFORMA";"page8",#N/A,FALSE,"PROFORMA"}</definedName>
    <definedName name="_bdm.026E05F70CA84C22868A1088F849EC78.edm" hidden="1">#REF!</definedName>
    <definedName name="_bdm.05BE98B744D44AE6ADA8DD409385F72D.edm" hidden="1">#REF!</definedName>
    <definedName name="_bdm.06FC8A023E9C473990EA6D1314C8F820.edm" hidden="1">#REF!</definedName>
    <definedName name="_bdm.0B0F18B0BCD34D408578EFA5D19F95F1.edm" hidden="1">#REF!</definedName>
    <definedName name="_bdm.0C89C57A1DD244F68620B2D8FBAC1BB2.edm" hidden="1">#REF!</definedName>
    <definedName name="_bdm.0E96BE308AC8488BBB5B863EA0EA58E7.edm" hidden="1">#REF!</definedName>
    <definedName name="_bdm.0FF3515C4D8A46C39371756981218BC2.edm" hidden="1">#REF!</definedName>
    <definedName name="_bdm.106BF9AD7184485C82620E5C6501496A.edm" hidden="1">#REF!</definedName>
    <definedName name="_bdm.16FDE1C36E374307AC9851CE0E372688.edm" hidden="1">#REF!</definedName>
    <definedName name="_bdm.1718F6ECF9B643BB9ECFC6EF36F303DB.edm" hidden="1">#REF!</definedName>
    <definedName name="_bdm.18D7B8DF443E40F08588CD76DD170269.edm" hidden="1">#REF!</definedName>
    <definedName name="_bdm.1A6DD9EDF0014631BA5DAB54DD1AF109.edm" hidden="1">#REF!</definedName>
    <definedName name="_bdm.1AD00C3B56054B49B0702F2AABFC9046.edm" hidden="1">#REF!</definedName>
    <definedName name="_bdm.1DE289B125854E8586004A031E184907.edm" hidden="1">#REF!</definedName>
    <definedName name="_bdm.21035019083648108165B1BA45E6A741.edm" hidden="1">#REF!</definedName>
    <definedName name="_bdm.236A870F68DF41C78D46B549748C9A13.edm" hidden="1">#REF!</definedName>
    <definedName name="_bdm.2A63BB8007BF42F98A4B3C1EA079ACDB.edm" hidden="1">#REF!</definedName>
    <definedName name="_bdm.2AF496FB9EBD47958C04F23DC4691DFD.edm" hidden="1">#REF!</definedName>
    <definedName name="_bdm.2E992C0B17A84955BA91F52DDFA70110.edm" hidden="1">#REF!</definedName>
    <definedName name="_bdm.2E9C8A4F9CEA48D19CF24C07D401990F.edm" hidden="1">#REF!</definedName>
    <definedName name="_bdm.315B51B8441A481E80D76335B1387721.edm" hidden="1">#REF!</definedName>
    <definedName name="_bdm.36D2A2580E7E40149A40FBE530628719.edm" hidden="1">#REF!</definedName>
    <definedName name="_bdm.38A607F2D76C4DECA5D18AC9DFE68A84.edm" hidden="1">#REF!</definedName>
    <definedName name="_bdm.3BC385B203304DC2A2F1B29290FCAD72.edm" hidden="1">#REF!</definedName>
    <definedName name="_bdm.3E656774FFD24CAAA312EEDD608EB489.edm" hidden="1">#REF!</definedName>
    <definedName name="_bdm.41DFE0648815401C8625480744470C15.edm" hidden="1">#REF!</definedName>
    <definedName name="_bdm.423FB46D306649B1B47DF9EE821ED793.edm" hidden="1">#REF!</definedName>
    <definedName name="_bdm.425343A9E0134837A6ECC38214DF76D7.edm" hidden="1">#REF!</definedName>
    <definedName name="_bdm.43FB78AC4C294F46B2DC4D3676C1471F.edm" hidden="1">#REF!</definedName>
    <definedName name="_bdm.4A74B663E1A047CEB95324A3EB4ECDE8.edm" hidden="1">#REF!</definedName>
    <definedName name="_bdm.4F73B73271114C6CB1F0D6CA023A909E.edm" hidden="1">#REF!</definedName>
    <definedName name="_bdm.5222E973893B4D419699D266C985636B.edm" hidden="1">#REF!</definedName>
    <definedName name="_bdm.53B0216668C04FBCAA129BCE5D377A38.edm" hidden="1">#REF!</definedName>
    <definedName name="_bdm.5647C855949A46B68EFEFA5F082CF20D.edm" hidden="1">#REF!</definedName>
    <definedName name="_bdm.5BED8E322A0E4D21AD81A57E4077B268.edm" hidden="1">#REF!</definedName>
    <definedName name="_bdm.5DB3491DE5EC425996883ADA09FFA2C5.edm" hidden="1">#REF!</definedName>
    <definedName name="_bdm.606439BA82B9464F87851B49F611E17B.edm" hidden="1">#REF!</definedName>
    <definedName name="_bdm.619D0A075BCE49F3AE2DFCAB7922D2FB.edm" hidden="1">#REF!</definedName>
    <definedName name="_bdm.658BD73E718B4E1C912C47566B23EE2B.edm" hidden="1">#REF!</definedName>
    <definedName name="_bdm.66542301FD8645AE92379AC38AB4B110.edm" hidden="1">#REF!</definedName>
    <definedName name="_bdm.679E7B9DFFEA492BBEA9CCFCB5292772.edm" hidden="1">#REF!</definedName>
    <definedName name="_bdm.67C735B78619480B9A502FF7E5D445A4.edm" hidden="1">#REF!</definedName>
    <definedName name="_bdm.69B894C4E5A8465F8862773CAE413F97.edm" hidden="1">#REF!</definedName>
    <definedName name="_bdm.69bbede4798d4916a63eda39a1fe32e2.edm" hidden="1">#REF!</definedName>
    <definedName name="_bdm.6AFB8EC9794F4B969C3DC3748E73F7B9.edm" hidden="1">#REF!</definedName>
    <definedName name="_bdm.6B922E2C01B840F3846C2C49675DC960.edm" hidden="1">#REF!</definedName>
    <definedName name="_bdm.6D8BB308F1A7454584FC7D1C95409EBC.edm" hidden="1">#REF!</definedName>
    <definedName name="_bdm.6EEC5A193E16440E948667A92332B274.edm" hidden="1">#REF!</definedName>
    <definedName name="_bdm.71F0BB01B7E64656915E0781B5F4896E.edm" hidden="1">#REF!</definedName>
    <definedName name="_bdm.733F641F349341DF8C4C612329791C28.edm" hidden="1">#REF!</definedName>
    <definedName name="_bdm.73C0FBB2A5C14DB98E80B8127964A4AA.edm" hidden="1">#REF!</definedName>
    <definedName name="_bdm.767B34DF0F654ADE81751800394035C6.edm" hidden="1">#REF!</definedName>
    <definedName name="_bdm.77FEDDBC91C745AEA189A8F563ACF4FA.edm" hidden="1">#REF!</definedName>
    <definedName name="_bdm.78068E5E216847F1BC89BBD588581E72.edm" hidden="1">#REF!</definedName>
    <definedName name="_bdm.78A95B05E9B14F2C9DD9CFDE6CFE4E29.edm" hidden="1">#REF!</definedName>
    <definedName name="_bdm.79F12F6AABB94254B317E246C7F24B91.edm" hidden="1">#REF!</definedName>
    <definedName name="_bdm.7A794A188B8B4D8E9C170E7729EDCED8.edm" hidden="1">#REF!</definedName>
    <definedName name="_bdm.7D95730C247643EEA3B963D7969C456D.edm" hidden="1">#REF!</definedName>
    <definedName name="_bdm.83054575080D43A290D994FE0E7AD0D2.edm" hidden="1">#REF!</definedName>
    <definedName name="_bdm.8821B96569564C7783F9355FD275A864.edm" hidden="1">#REF!</definedName>
    <definedName name="_bdm.882C59D4404640129C696AF15CB3755A.edm" hidden="1">#REF!</definedName>
    <definedName name="_bdm.89E6BDEE223B433E91AA988BACACCCA7.edm" hidden="1">#REF!</definedName>
    <definedName name="_bdm.8A08EA11AC38492FAE61DFC7796E493D.edm" hidden="1">#REF!</definedName>
    <definedName name="_bdm.8FB8D0476D434CF0BB12679ACFD65F47.edm" hidden="1">#REF!</definedName>
    <definedName name="_bdm.9021E5C64433461DA2545928D8C14D7C.edm" hidden="1">#REF!</definedName>
    <definedName name="_bdm.91B5014D282441F0AE56633B86379C51.edm" hidden="1">#REF!</definedName>
    <definedName name="_bdm.9295845727974FDA81DFBC25B6C85439.edm" hidden="1">#REF!</definedName>
    <definedName name="_bdm.93E1A821835E4697BFC2EF87B21DF77C.edm" hidden="1">#REF!</definedName>
    <definedName name="_bdm.94D63755E22F41798F4B40D8943C2F3C.edm" hidden="1">#REF!</definedName>
    <definedName name="_bdm.9573B64F73C840ABA22AE8E9BB2874A1.edm" hidden="1">#REF!</definedName>
    <definedName name="_bdm.9A040B5ACDCB4B0698A5B5E86E5A054C.edm" hidden="1">#REF!</definedName>
    <definedName name="_bdm.9A2A48A9F34344E491562B5BA5F27C2D.edm" hidden="1">#REF!</definedName>
    <definedName name="_bdm.9D56EB5F43204F978F37E4C059A868D1.edm" hidden="1">#REF!</definedName>
    <definedName name="_bdm.A3468B3F26A946C6A560BA528D24C13E.edm" hidden="1">#REF!</definedName>
    <definedName name="_bdm.B5E56900AEE7463EA843066AD9C1DBB0.edm" hidden="1">#REF!</definedName>
    <definedName name="_bdm.B84D1F02013F42A68B2196ED360ECEE1.edm" hidden="1">#REF!</definedName>
    <definedName name="_bdm.BABF452210574A9CA93D617BC84B3A91.edm" hidden="1">#REF!</definedName>
    <definedName name="_bdm.BC0211E181094707BD7C6FE5463B3D99.edm" hidden="1">#REF!</definedName>
    <definedName name="_bdm.C176867026E348799E36277C0A745A23.edm" hidden="1">#REF!</definedName>
    <definedName name="_bdm.C51092EEBC964E21AC2C146336D68A3C.edm" hidden="1">#REF!</definedName>
    <definedName name="_bdm.C5DC8FA93DE442CCB61B4A0C11C100E3.edm" hidden="1">#REF!</definedName>
    <definedName name="_bdm.C7DBB29E3D8D41B69A73DF63E338BC5B.edm" hidden="1">#REF!</definedName>
    <definedName name="_bdm.CB9A4FC3BF774D39BBD56D9697F3CAE8.edm" hidden="1">#REF!</definedName>
    <definedName name="_bdm.CD59E2321CF74ED2B59D136856E6578F.edm" hidden="1">#REF!</definedName>
    <definedName name="_bdm.D1C45972B9EF44CAA2C0F3EB26524C78.edm" hidden="1">#REF!</definedName>
    <definedName name="_bdm.D2B1740531EB42EFA55C061A4965B641.edm" hidden="1">#REF!</definedName>
    <definedName name="_bdm.D619F92786E0454786C79CB7B1156B09.edm" hidden="1">#REF!</definedName>
    <definedName name="_bdm.D9ECDB47EB944209A49F9DEB77C8F931.edm" hidden="1">#REF!</definedName>
    <definedName name="_bdm.DB0577EEF75848D7946634F9614E73CE.edm" hidden="1">#REF!</definedName>
    <definedName name="_bdm.DCD4238C512B4EA5AC02BAA7BE4DDB96.edm" hidden="1">#REF!</definedName>
    <definedName name="_bdm.DE146303A2C64E8B9F6B0CC32AF7454D.edm" hidden="1">#REF!</definedName>
    <definedName name="_bdm.E28F4DC58D17427F81D60C9AF9C615BF.edm" hidden="1">#REF!</definedName>
    <definedName name="_bdm.E48B019D23A34E2FB36833D571C08B02.edm" hidden="1">#REF!</definedName>
    <definedName name="_bdm.E5743739224A4283ADB83CE2636E223E.edm" hidden="1">#REF!</definedName>
    <definedName name="_bdm.E5FC0CF48FB5437C8A20BA5DCB395152.edm" hidden="1">#REF!</definedName>
    <definedName name="_bdm.E66671197BB84D9CB784EBA8A298DD70.edm" hidden="1">#REF!</definedName>
    <definedName name="_bdm.E7F147181F6749909E86AE0B94642443.edm" hidden="1">#REF!</definedName>
    <definedName name="_bdm.E9905BC403254510A5C8BB975C19D221.edm" hidden="1">#REF!</definedName>
    <definedName name="_bdm.ED728E2DB69A4B18BC791BDEEBEFEF65.edm" hidden="1">#REF!</definedName>
    <definedName name="_bdm.EF7A9AF8685C46ED8F865C3EE8870754.edm" hidden="1">#REF!</definedName>
    <definedName name="_bdm.F1DD885A699C49DFBF5C356371256013.edm" hidden="1">#REF!</definedName>
    <definedName name="_bdm.F2D7291CDB3D4FC3B160BBE6876EBBC4.edm" hidden="1">#REF!</definedName>
    <definedName name="_bdm.F93EDABDA4534BCF8AFE6848E08D07C8.edm" hidden="1">#REF!</definedName>
    <definedName name="_bdm.FA84F58C8C0347EABAB83C6CA9263675.edm" hidden="1">#REF!</definedName>
    <definedName name="_bdm.FastTrackBookmark.8_23_2004_10_50_33_AM.edm" hidden="1">#REF!</definedName>
    <definedName name="_bdm.FastTrackBookmark.8_23_2004_10_50_37_AM.edm" hidden="1">#REF!</definedName>
    <definedName name="_bdm.FastTrackBookmark.8_23_2004_10_54_30_AM.edm" hidden="1">#REF!</definedName>
    <definedName name="_bdm.FastTrackBookmark.8_23_2004_10_54_40_AM.edm" hidden="1">#REF!</definedName>
    <definedName name="_bdm.FastTrackBookmark.8_23_2004_3_57_07_PM.edm" hidden="1">#REF!</definedName>
    <definedName name="_bdm.FastTrackBookmark.8_23_2004_3_57_16_PM.edm" hidden="1">#REF!</definedName>
    <definedName name="_bdm.FastTrackBookmark.8_23_2004_4_05_53_PM.edm" hidden="1">#REF!</definedName>
    <definedName name="_bdm.FastTrackBookmark.8_23_2004_4_06_00_PM.edm" hidden="1">#REF!</definedName>
    <definedName name="_bdm.FD5A10BC7C844A38BF7865AFAAD8325E.edm" hidden="1">#REF!</definedName>
    <definedName name="_bdm.FF0A03FB97DA4D188B322E3A6EF53865.edm" hidden="1">#REF!</definedName>
    <definedName name="_bdm.FF7D6021A21343A5928F837ADC0B1DF4.edm" hidden="1">#REF!</definedName>
    <definedName name="_BUD2003">#REF!</definedName>
    <definedName name="_BUD2004">#REF!</definedName>
    <definedName name="_BUD2005">#REF!</definedName>
    <definedName name="_CFR1">#REF!</definedName>
    <definedName name="_CFR2">#REF!</definedName>
    <definedName name="_CPI2">#REF!</definedName>
    <definedName name="_dan1" hidden="1">#REF!</definedName>
    <definedName name="_del1" hidden="1">{"Page1",#N/A,FALSE,"7979";"Page2",#N/A,FALSE,"7979";"Page3",#N/A,FALSE,"7979"}</definedName>
    <definedName name="_DET1">#REF!</definedName>
    <definedName name="_DET5">#REF!</definedName>
    <definedName name="_DPF1">#REF!</definedName>
    <definedName name="_DPF2">#REF!</definedName>
    <definedName name="_DPF3">#REF!</definedName>
    <definedName name="_e4" hidden="1">{"new",#N/A,FALSE,"D";"PROFORMA",#N/A,FALSE,"A";"partial 1",#N/A,FALSE,"B";"partial 2",#N/A,FALSE,"B";"partial 3",#N/A,FALSE,"B";"SMALL CF 1",#N/A,FALSE,"C"}</definedName>
    <definedName name="_fcf10">#REF!</definedName>
    <definedName name="_fcf5">#REF!</definedName>
    <definedName name="_fee1">#REF!</definedName>
    <definedName name="_fee2">#REF!</definedName>
    <definedName name="_fee3">#REF!</definedName>
    <definedName name="_Fil1" hidden="1">#REF!</definedName>
    <definedName name="_Fill" hidden="1">#REF!</definedName>
    <definedName name="_Fill2" hidden="1">#REF!</definedName>
    <definedName name="_xlnm._FilterDatabase" hidden="1">#REF!</definedName>
    <definedName name="_FRMMGR_">#REF!</definedName>
    <definedName name="_FS_R">#REF!</definedName>
    <definedName name="_fx2" hidden="1">#REF!</definedName>
    <definedName name="_IRR1">#REF!</definedName>
    <definedName name="_IRR2">#REF!</definedName>
    <definedName name="_jo2" hidden="1">{#N/A,#N/A,FALSE,"DCF-COM";#N/A,#N/A,FALSE,"VAC-COM"}</definedName>
    <definedName name="_jo3" hidden="1">{"CASHFLOW",#N/A,FALSE,"Northpointe"}</definedName>
    <definedName name="_jo4" hidden="1">{#N/A,#N/A,FALSE,"SHEET1";#N/A,#N/A,FALSE,"SHEET2";#N/A,#N/A,FALSE,"SHEET3";#N/A,#N/A,FALSE,"SHEET4"}</definedName>
    <definedName name="_Key1" hidden="1">#REF!</definedName>
    <definedName name="_Key2" hidden="1">#REF!</definedName>
    <definedName name="_Key5" hidden="1">#REF!</definedName>
    <definedName name="_Key6" hidden="1">#REF!</definedName>
    <definedName name="_Key8" hidden="1">#REF!</definedName>
    <definedName name="_Key9" hidden="1">#REF!</definedName>
    <definedName name="_ky1" hidden="1">#REF!</definedName>
    <definedName name="_Lex1">#REF!</definedName>
    <definedName name="_M">#REF!</definedName>
    <definedName name="_max1">#REF!</definedName>
    <definedName name="_max2">#REF!</definedName>
    <definedName name="_MENUBRANCH_PRI">#REF!</definedName>
    <definedName name="_mg3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Mkt1">#REF!</definedName>
    <definedName name="_Mkt2">#REF!</definedName>
    <definedName name="_Mkt3">#REF!</definedName>
    <definedName name="_MRG2" hidden="1">{"INCOME",#N/A,FALSE,"ProNet";"VALUE",#N/A,FALSE,"ProNet"}</definedName>
    <definedName name="_MTD34">#REF!</definedName>
    <definedName name="_MTD35">#REF!</definedName>
    <definedName name="_old2" hidden="1">{#N/A,#N/A,FALSE,"Chart 2 by Prop Type"}</definedName>
    <definedName name="_old3" hidden="1">{#N/A,#N/A,FALSE,"Emmes Services";#N/A,#N/A,FALSE,"Emmes Capital";#N/A,#N/A,FALSE,"Emmes &amp; Co"}</definedName>
    <definedName name="_old4" hidden="1">{#N/A,#N/A,FALSE,"Summary";#N/A,#N/A,FALSE,"Buckets";#N/A,#N/A,FALSE,"Northstar";#N/A,#N/A,FALSE,"Comp"}</definedName>
    <definedName name="_old5" hidden="1">{#N/A,#N/A,FALSE,"Emmes Services";#N/A,#N/A,FALSE,"Emmes Capital";#N/A,#N/A,FALSE,"Emmes &amp; Co"}</definedName>
    <definedName name="_old6" hidden="1">{#N/A,#N/A,FALSE,"Summary";#N/A,#N/A,FALSE,"Buckets";#N/A,#N/A,FALSE,"Northstar";#N/A,#N/A,FALSE,"Comp"}</definedName>
    <definedName name="_Order1" hidden="1">255</definedName>
    <definedName name="_Order2" hidden="1">255</definedName>
    <definedName name="_PFY1">#REF!</definedName>
    <definedName name="_PFY2">#REF!</definedName>
    <definedName name="_PRSA11..Q277_G">#REF!</definedName>
    <definedName name="_RE94">#REF!</definedName>
    <definedName name="_Regression_Int" hidden="1">1</definedName>
    <definedName name="_REQ1">#REF!</definedName>
    <definedName name="_RMS01">#REF!</definedName>
    <definedName name="_RMS02">#REF!</definedName>
    <definedName name="_RMS03">#REF!</definedName>
    <definedName name="_RMS04">#REF!</definedName>
    <definedName name="_RMS05">#REF!</definedName>
    <definedName name="_RMS06">#REF!</definedName>
    <definedName name="_RMS07">#REF!</definedName>
    <definedName name="_RMS08">#REF!</definedName>
    <definedName name="_RMS09">#REF!</definedName>
    <definedName name="_RMS10">#REF!</definedName>
    <definedName name="_RMS11">#REF!</definedName>
    <definedName name="_RMS12">#REF!</definedName>
    <definedName name="_RMS13">#REF!</definedName>
    <definedName name="_RMS14">#REF!</definedName>
    <definedName name="_RMS15">#REF!</definedName>
    <definedName name="_RMS16">#REF!</definedName>
    <definedName name="_RMS17">#REF!</definedName>
    <definedName name="_RMS18">#REF!</definedName>
    <definedName name="_RMS19">#REF!</definedName>
    <definedName name="_RMS20">#REF!</definedName>
    <definedName name="_RMS21">#REF!</definedName>
    <definedName name="_RMS22">#REF!</definedName>
    <definedName name="_RMS23">#REF!</definedName>
    <definedName name="_RMS24">#REF!</definedName>
    <definedName name="_RMS25">#REF!</definedName>
    <definedName name="_RMS26">#REF!</definedName>
    <definedName name="_RMS27">#REF!</definedName>
    <definedName name="_RMS28">#REF!</definedName>
    <definedName name="_RMS29">#REF!</definedName>
    <definedName name="_RMS30">#REF!</definedName>
    <definedName name="_RMS31">#REF!</definedName>
    <definedName name="_scenchg_count" hidden="1">7</definedName>
    <definedName name="_scenchg6" hidden="1">#REF!</definedName>
    <definedName name="_scenchg7" hidden="1">#REF!</definedName>
    <definedName name="_seg1">#REF!</definedName>
    <definedName name="_seg2">#REF!</definedName>
    <definedName name="_seg3">#REF!</definedName>
    <definedName name="_seg4">#REF!</definedName>
    <definedName name="_Sort" hidden="1">#REF!</definedName>
    <definedName name="_SUM1">#REF!</definedName>
    <definedName name="_SUM2">#REF!</definedName>
    <definedName name="_SUM3">#REF!</definedName>
    <definedName name="_Tab2_In2" hidden="1">#REF!</definedName>
    <definedName name="_Table1_In1" hidden="1">#REF!</definedName>
    <definedName name="_Table1_In2" hidden="1">#REF!</definedName>
    <definedName name="_Table1_Out" hidden="1">#REF!</definedName>
    <definedName name="_Table2" hidden="1">#REF!</definedName>
    <definedName name="_Table2_In1" hidden="1">#REF!</definedName>
    <definedName name="_Table2_In1a" hidden="1">#REF!</definedName>
    <definedName name="_Table2_In2" hidden="1">#REF!</definedName>
    <definedName name="_Table2_Out" hidden="1">#REF!</definedName>
    <definedName name="_Table2_Out2" hidden="1">#REF!</definedName>
    <definedName name="_Table3_In2" hidden="1">#REF!</definedName>
    <definedName name="_TOP1">#REF!</definedName>
    <definedName name="_TOP2">#REF!</definedName>
    <definedName name="_urs2">#REF!</definedName>
    <definedName name="_usr2">#REF!</definedName>
    <definedName name="_wrn2" hidden="1">{"TB_PR","50",FALSE,"PR_TRIAL_BALANCE";"TB_PR","51",FALSE,"PR_TRIAL_BALANCE";"TB_PR","52",FALSE,"PR_TRIAL_BALANCE";"TB_PR","53",FALSE,"PR_TRIAL_BALANCE";"TB_PR","54",FALSE,"PR_TRIAL_BALANCE";"TB_PR","55",FALSE,"PR_TRIAL_BALANCE";"TB_PR","56",FALSE,"PR_TRIAL_BALANCE";"TB_PR","57",FALSE,"PR_TRIAL_BALANCE";"TB_PR","61",FALSE,"PR_TRIAL_BALANCE";"TB_PR","63",FALSE,"PR_TRIAL_BALANCE";"TB_PR","65",FALSE,"PR_TRIAL_BALANCE";"TB_PR","66",FALSE,"PR_TRIAL_BALANCE"}</definedName>
    <definedName name="_wrn3" hidden="1">{#N/A,#N/A,FALSE,"Cash Flow";#N/A,#N/A,FALSE,"FFO";#N/A,#N/A,FALSE,"Dvlpt Assumptions";#N/A,#N/A,FALSE,"Equity &amp; Constr Financing";#N/A,#N/A,FALSE,"JV Fee Analysis - cash";#N/A,#N/A,FALSE,"JV Fee Analysis - GAAP";#N/A,#N/A,FALSE,"Prop CF Adj";#N/A,#N/A,FALSE,"Land Sales";#N/A,#N/A,FALSE,"Capex, existing";#N/A,#N/A,FALSE,"Capex,97 Budget";#N/A,#N/A,FALSE,"Capex, dvlpt";#N/A,#N/A,FALSE,"Cap overhead";#N/A,#N/A,FALSE,"Project Equity";#N/A,#N/A,FALSE,"Leasing Fees";#N/A,#N/A,FALSE,"Debt";#N/A,#N/A,FALSE,"Capitalized Interest";#N/A,#N/A,FALSE,"FF&amp; E Loan";#N/A,#N/A,FALSE,"Strip loan";#N/A,#N/A,FALSE,"Franklin Loan";#N/A,#N/A,FALSE,"Poto_Gurn Amortiz";#N/A,#N/A,FALSE,"Dividend Distr";#N/A,#N/A,FALSE,"Investment in Partnerships";#N/A,#N/A,FALSE,"JV Ops Cash Flow Adj.";#N/A,#N/A,FALSE,"Ontario";#N/A,#N/A,FALSE,"Ontario-Proj";#N/A,#N/A,FALSE,"Ont Debt";#N/A,#N/A,FALSE,"Grapevine";#N/A,#N/A,FALSE,"Grapevine-Proj";#N/A,#N/A,FALSE,"Arizona";#N/A,#N/A,FALSE,"Arizona - Proj";#N/A,#N/A,FALSE,"Sawgrass Ph III";#N/A,#N/A,FALSE,"Saw Phase III-Proj";#N/A,#N/A,FALSE,"City Center";#N/A,#N/A,FALSE,"City Center-Proj";#N/A,#N/A,FALSE,"Columbus";#N/A,#N/A,FALSE,"Columbus-Proj";#N/A,#N/A,FALSE,"Atlanta";#N/A,#N/A,FALSE,"Atlanta-Proj";#N/A,#N/A,FALSE,"Monee";#N/A,#N/A,FALSE,"Monee-Proj";#N/A,#N/A,FALSE,"Houston";#N/A,#N/A,FALSE,"Houston-Proj";#N/A,#N/A,FALSE,"San Francisco";#N/A,#N/A,FALSE,"San Francisco-Proj";#N/A,#N/A,FALSE,"Meadowlands";#N/A,#N/A,FALSE,"Meadowlands-Proj";#N/A,#N/A,FALSE,"Toronto";#N/A,#N/A,FALSE,"Toronto-Proj"}</definedName>
    <definedName name="_wrn4" hidden="1">{"data",#N/A,FALSE,"INPUT"}</definedName>
    <definedName name="_xleta.AND" hidden="1" xlm="1">#NAME?</definedName>
    <definedName name="_xleta.FILTER" hidden="1" xlm="1">#NAME?</definedName>
    <definedName name="_xleta.INDEX" hidden="1" xlm="1">#NAME?</definedName>
    <definedName name="_xleta.SUMPRODUCT" hidden="1" xlm="1">#NAME?</definedName>
    <definedName name="_xleta.TODAY" hidden="1" xlm="1">#NAME?</definedName>
    <definedName name="_YR1">#REF!</definedName>
    <definedName name="_YR10">#REF!</definedName>
    <definedName name="_YR11">#REF!</definedName>
    <definedName name="_yr12">#REF!</definedName>
    <definedName name="_yr13">#REF!</definedName>
    <definedName name="_yr14">#REF!</definedName>
    <definedName name="_yr15">#REF!</definedName>
    <definedName name="_yr16">#REF!</definedName>
    <definedName name="_YR2">#REF!</definedName>
    <definedName name="_YR3">#REF!</definedName>
    <definedName name="_YR4">#REF!</definedName>
    <definedName name="_YR5">#REF!</definedName>
    <definedName name="_YR6">#REF!</definedName>
    <definedName name="_YR7">#REF!</definedName>
    <definedName name="_YR8">#REF!</definedName>
    <definedName name="_YR9">#REF!</definedName>
    <definedName name="a" hidden="1">{"Outflow 1",#N/A,FALSE,"Outflows-Inflows";"Outflow 2",#N/A,FALSE,"Outflows-Inflows";"Inflow 1",#N/A,FALSE,"Outflows-Inflows";"Inflow 2",#N/A,FALSE,"Outflows-Inflows"}</definedName>
    <definedName name="a1a1" hidden="1">{"Assump",#N/A,TRUE,"Proforma";"first",#N/A,TRUE,"Proforma";"second",#N/A,TRUE,"Proforma";"lease1",#N/A,TRUE,"Proforma";"lease2",#N/A,TRUE,"Proforma"}</definedName>
    <definedName name="aa" hidden="1">#REF!</definedName>
    <definedName name="aa.2" hidden="1">{#N/A,#N/A,FALSE,"Cashflow Analysis";#N/A,#N/A,FALSE,"Sensitivity Analysis";#N/A,#N/A,FALSE,"PV";#N/A,#N/A,FALSE,"Pro Forma"}</definedName>
    <definedName name="aaa" hidden="1">{"AnnualRentRoll",#N/A,FALSE,"RentRoll"}</definedName>
    <definedName name="AAA_DOCTOPS" hidden="1">"AAA_SET"</definedName>
    <definedName name="AAA_duser" hidden="1">"OFF"</definedName>
    <definedName name="aaaa" hidden="1">{"AnnualRentRoll",#N/A,FALSE,"RentRoll"}</definedName>
    <definedName name="aaaaa" hidden="1">{"Assump",#N/A,TRUE,"Proforma";"first",#N/A,TRUE,"Proforma";"second",#N/A,TRUE,"Proforma";"lease1",#N/A,TRUE,"Proforma";"lease2",#N/A,TRUE,"Proforma"}</definedName>
    <definedName name="AAAAAA" hidden="1">{#N/A,#N/A,FALSE,"NN-1 Capital Leases"}</definedName>
    <definedName name="aaaaaaa" hidden="1">{"Outflow 1",#N/A,FALSE,"Outflows-Inflows";"Outflow 2",#N/A,FALSE,"Outflows-Inflows";"Inflow 1",#N/A,FALSE,"Outflows-Inflows";"Inflow 2",#N/A,FALSE,"Outflows-Inflows"}</definedName>
    <definedName name="aaaaaaaaaaaaaaaaaaaaa" hidden="1">{"AnnualRentRoll",#N/A,FALSE,"RentRoll"}</definedName>
    <definedName name="aaadfsfdsfd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p">#REF!</definedName>
    <definedName name="aasdfa" hidden="1">{"rtn",#N/A,FALSE,"RTN";"tables",#N/A,FALSE,"RTN";"cf",#N/A,FALSE,"CF";"stats",#N/A,FALSE,"Stats";"prop",#N/A,FALSE,"Prop"}</definedName>
    <definedName name="ab" localSheetId="2" hidden="1">{#N/A,#N/A,TRUE,"Ericsson Stadium PCD ";#N/A,#N/A,TRUE,"Ericsson Stadium IOR"}</definedName>
    <definedName name="ab" hidden="1">{#N/A,#N/A,TRUE,"Ericsson Stadium PCD ";#N/A,#N/A,TRUE,"Ericsson Stadium IOR"}</definedName>
    <definedName name="ab_condo" localSheetId="2" hidden="1">{#N/A,#N/A,TRUE,"Ericsson Stadium PCD ";#N/A,#N/A,TRUE,"Ericsson Stadium IOR"}</definedName>
    <definedName name="ab_condo" hidden="1">{#N/A,#N/A,TRUE,"Ericsson Stadium PCD ";#N/A,#N/A,TRUE,"Ericsson Stadium IOR"}</definedName>
    <definedName name="abc" hidden="1">{"TAB 1",#N/A,FALSE,"1";"tab 2",#N/A,FALSE,"2";"TAB 3",#N/A,FALSE,"3";"tab 4",#N/A,FALSE,"4";"tab 5",#N/A,FALSE,"5";"tab 6",#N/A,FALSE,"6";"tab 7",#N/A,FALSE,"7";"TAB 8",#N/A,FALSE,"8"}</definedName>
    <definedName name="abcd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abcde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ABM" hidden="1">{#N/A,#N/A,FALSE,"COVER";#N/A,#N/A,FALSE,"TABLE OF CONTENTS";#N/A,#N/A,FALSE,"EXEC SUMM";#N/A,#N/A,FALSE,"SURVEY";#N/A,#N/A,FALSE,"PROSPECT";#N/A,#N/A,FALSE,"NEW,EXPANSION,RENEWAL,RELET";#N/A,#N/A,FALSE,"EXPIRED,DEFAULTED";#N/A,#N/A,FALSE,"SIGNED LEASES";#N/A,#N/A,FALSE,"LOST TRANSACTIONS ";#N/A,#N/A,FALSE,"STACKING PLAN";#N/A,#N/A,FALSE,"EXPIRATIONS";#N/A,#N/A,FALSE,"OPTIONS";#N/A,#N/A,FALSE,"SUBLEASE";#N/A,#N/A,FALSE,"AR ANALYSIS";#N/A,#N/A,FALSE,"NER_IN_PLACE";#N/A,#N/A,FALSE,"NER_ACQ_DATE";#N/A,#N/A,FALSE,"titles"}</definedName>
    <definedName name="ABSINP">#REF!</definedName>
    <definedName name="absorption_months">#REF!</definedName>
    <definedName name="absrbper">#REF!</definedName>
    <definedName name="ac" hidden="1">{"tableau a",#N/A,FALSE,"Feuil3";"tableau b",#N/A,FALSE,"Feuil3"}</definedName>
    <definedName name="accelerationB">#REF!</definedName>
    <definedName name="Access_Button" hidden="1">"Loan_Front_End_Input_List"</definedName>
    <definedName name="AccessCode" hidden="1">""""</definedName>
    <definedName name="AccessDatabase" hidden="1">"C:\My Documents\DAVE\MODELS\Cash at Risk\Loan Front End.mdb"</definedName>
    <definedName name="Account">#REF!</definedName>
    <definedName name="ACCOUNTING">#REF!</definedName>
    <definedName name="AccountsPayable">#REF!</definedName>
    <definedName name="AccountsReceivable">#REF!</definedName>
    <definedName name="AccrInc" hidden="1">#REF!</definedName>
    <definedName name="acq">#REF!</definedName>
    <definedName name="acq_cap">#REF!</definedName>
    <definedName name="acq_cap95">#REF!</definedName>
    <definedName name="acq_loan">#REF!</definedName>
    <definedName name="acq_LTV">#REF!</definedName>
    <definedName name="AcqFee">#REF!</definedName>
    <definedName name="AcqFeePercent">#REF!</definedName>
    <definedName name="acqint">#REF!</definedName>
    <definedName name="ACQLAND">#REF!</definedName>
    <definedName name="acquirename">#REF!</definedName>
    <definedName name="acquirenick">#REF!</definedName>
    <definedName name="Acquiror">#REF!</definedName>
    <definedName name="Acquiror_Shares_Outstanding">#REF!</definedName>
    <definedName name="Acquiror_Stock_Price">#REF!</definedName>
    <definedName name="AcquirorStockPrice">#REF!</definedName>
    <definedName name="acquisition">#REF!</definedName>
    <definedName name="Acres">#REF!</definedName>
    <definedName name="act" hidden="1">{"tableau a",#N/A,FALSE,"Feuil3";"tableau b",#N/A,FALSE,"Feuil3"}</definedName>
    <definedName name="ACT2004act">#REF!</definedName>
    <definedName name="actu" hidden="1">{"tableau a",#N/A,FALSE,"Feuil3";"tableau b",#N/A,FALSE,"Feuil3"}</definedName>
    <definedName name="actua" hidden="1">{"tableau a",#N/A,FALSE,"Feuil3";"tableau b",#N/A,FALSE,"Feuil3"}</definedName>
    <definedName name="actual" hidden="1">{"tableau a",#N/A,FALSE,"Feuil3";"tableau b",#N/A,FALSE,"Feuil3"}</definedName>
    <definedName name="ActualCFPS0">#REF!</definedName>
    <definedName name="ActualCFPS1">#REF!</definedName>
    <definedName name="ActualCFPS2">#REF!</definedName>
    <definedName name="ActualCFPS3">#REF!</definedName>
    <definedName name="ActualEPS0">#REF!</definedName>
    <definedName name="ActualEPS1">#REF!</definedName>
    <definedName name="ActualEPS2">#REF!</definedName>
    <definedName name="ActualEPS3">#REF!</definedName>
    <definedName name="ACTUALS">#REF!</definedName>
    <definedName name="ACwvu.annual._.hotel." hidden="1">#REF!</definedName>
    <definedName name="ACwvu.CAM._.RECOVERIES." hidden="1">#REF!</definedName>
    <definedName name="ACwvu.CAM._.TABLE." hidden="1">#REF!</definedName>
    <definedName name="ACwvu.combo." hidden="1">#REF!</definedName>
    <definedName name="ACwvu.INSURANCE._.RECOVERIES." hidden="1">#REF!</definedName>
    <definedName name="ACwvu.MINIMUM._.RENT." hidden="1">#REF!</definedName>
    <definedName name="ACwvu.OCCUPANCY._.ANALYSIS." hidden="1">#REF!</definedName>
    <definedName name="ACwvu.PERCENTAGE._.RENT." hidden="1">#REF!</definedName>
    <definedName name="ACwvu.Sommaire." hidden="1">#REF!,#REF!,#REF!,#REF!,#REF!,#REF!</definedName>
    <definedName name="ACwvu.TAX._.RECOVERIES." hidden="1">#REF!</definedName>
    <definedName name="ad" hidden="1">{"FORMULAS",#N/A,FALSE,"ESTIMATE"}</definedName>
    <definedName name="Add_Threshold">#REF!</definedName>
    <definedName name="ADDITIONS">#REF!</definedName>
    <definedName name="Address">#REF!</definedName>
    <definedName name="adf" hidden="1">{#N/A,#N/A,FALSE,"SCHEDULE G"}</definedName>
    <definedName name="adfa" hidden="1">{"cap_structure",#N/A,FALSE,"Graph-Mkt Cap";"price",#N/A,FALSE,"Graph-Price";"ebit",#N/A,FALSE,"Graph-EBITDA";"ebitda",#N/A,FALSE,"Graph-EBITDA"}</definedName>
    <definedName name="ADFWAE" hidden="1">{"summary1",#N/A,TRUE,"Comps";"summary2",#N/A,TRUE,"Comps";"summary3",#N/A,TRUE,"Comps"}</definedName>
    <definedName name="adgad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ADJ">#REF!</definedName>
    <definedName name="AdjustmentToIncomeTaxes">#REF!</definedName>
    <definedName name="Admin_no">1</definedName>
    <definedName name="ADR">#REF!</definedName>
    <definedName name="ADR_Spread">#REF!</definedName>
    <definedName name="ADR_Table_1">#REF!</definedName>
    <definedName name="ADR_Table_2">#REF!</definedName>
    <definedName name="ADRGR11">#REF!</definedName>
    <definedName name="ADRSensitivity">#REF!</definedName>
    <definedName name="ads" hidden="1">{"inputs raw data",#N/A,TRUE,"INPUT"}</definedName>
    <definedName name="adscas" localSheetId="2" hidden="1">{#N/A,#N/A,FALSE,"Cashflow Analysis";#N/A,#N/A,FALSE,"Sensitivity Analysis";#N/A,#N/A,FALSE,"PV";#N/A,#N/A,FALSE,"Pro Forma"}</definedName>
    <definedName name="adscas" hidden="1">{#N/A,#N/A,FALSE,"Cashflow Analysis";#N/A,#N/A,FALSE,"Sensitivity Analysis";#N/A,#N/A,FALSE,"PV";#N/A,#N/A,FALSE,"Pro Forma"}</definedName>
    <definedName name="adsf" hidden="1">{"sheet a",#N/A,FALSE,"A";"2 9 casflow",#N/A,FALSE,"B"}</definedName>
    <definedName name="ADSFA" hidden="1">{"inputs raw data",#N/A,TRUE,"INPUT"}</definedName>
    <definedName name="ae">#REF!</definedName>
    <definedName name="AEWEW" hidden="1">{"inputs raw data",#N/A,TRUE,"INPUT"}</definedName>
    <definedName name="afe" hidden="1">{#N/A,#N/A,FALSE,"A";#N/A,#N/A,FALSE,"B";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}</definedName>
    <definedName name="AFFrent">#REF!</definedName>
    <definedName name="afirpt" hidden="1">{#N/A,#N/A,TRUE,"TITLE";#N/A,#N/A,TRUE,"SCH 1";#N/A,#N/A,TRUE,"SCH 2";#N/A,#N/A,TRUE,"SCH 3";#N/A,#N/A,TRUE,"SCH3(A)"}</definedName>
    <definedName name="AfterTaxItems">#REF!</definedName>
    <definedName name="aftreport" hidden="1">{#N/A,#N/A,TRUE,"TITLE";#N/A,#N/A,TRUE,"SCH 1";#N/A,#N/A,TRUE,"SCH 2";#N/A,#N/A,TRUE,"SCH 3";#N/A,#N/A,TRUE,"SCH3(A)"}</definedName>
    <definedName name="AGExpense">#REF!</definedName>
    <definedName name="ai">#REF!</definedName>
    <definedName name="AIA_COVER">#REF!</definedName>
    <definedName name="airright_acq">#REF!</definedName>
    <definedName name="airrights_Price">#REF!</definedName>
    <definedName name="AKAADDR1">#REF!</definedName>
    <definedName name="al">#REF!</definedName>
    <definedName name="AllocationsCodes">#REF!</definedName>
    <definedName name="allti">#REF!</definedName>
    <definedName name="AMENITY">#REF!</definedName>
    <definedName name="amo">#REF!</definedName>
    <definedName name="Amo_Print">#REF!</definedName>
    <definedName name="AMOD">#REF!</definedName>
    <definedName name="amort">#REF!</definedName>
    <definedName name="AMORT1">#REF!</definedName>
    <definedName name="amort2">#REF!</definedName>
    <definedName name="AMORT2A">#REF!</definedName>
    <definedName name="AMORT3">#REF!</definedName>
    <definedName name="AMORT6">#REF!</definedName>
    <definedName name="Amortization">#REF!</definedName>
    <definedName name="AmortizationOfDeferredFinancingCosts">#REF!</definedName>
    <definedName name="Amortizing?">#REF!</definedName>
    <definedName name="AmortTerm">#REF!</definedName>
    <definedName name="Amount_Paid">#REF!</definedName>
    <definedName name="Amounts_in">"1000"</definedName>
    <definedName name="ANA">#REF!</definedName>
    <definedName name="ANA_PRD">#REF!</definedName>
    <definedName name="ANA_RATE_REVENUE">#REF!</definedName>
    <definedName name="ANAL">#REF!</definedName>
    <definedName name="ANALYSIS">#REF!</definedName>
    <definedName name="AnalysisBegin">#REF!</definedName>
    <definedName name="ando" localSheetId="2" hidden="1">{"'下期集計（10.27迄・速報値）'!$Q$16"}</definedName>
    <definedName name="ando" hidden="1">{"'下期集計（10.27迄・速報値）'!$Q$16"}</definedName>
    <definedName name="ANG">#REF!</definedName>
    <definedName name="ann_gar_lease">#REF!</definedName>
    <definedName name="ANNAULR6">#REF!</definedName>
    <definedName name="AnnoucementDate">#REF!</definedName>
    <definedName name="ANNUAL">#REF!</definedName>
    <definedName name="Annual_Amort_Table">#REF!</definedName>
    <definedName name="ANNUAL1">#REF!</definedName>
    <definedName name="ANNUAL2">#REF!</definedName>
    <definedName name="ANNUAL3">#REF!</definedName>
    <definedName name="ANNUAL4">#REF!</definedName>
    <definedName name="ANNUAL5">#REF!</definedName>
    <definedName name="AnnualDebt">#REF!</definedName>
    <definedName name="AnnualDebtService">#REF!</definedName>
    <definedName name="AnnualNewShares">#REF!</definedName>
    <definedName name="ANNUALParking">#REF!</definedName>
    <definedName name="ANNUALR3">#REF!</definedName>
    <definedName name="ANNUALR4">#REF!</definedName>
    <definedName name="ANNUALR5">#REF!</definedName>
    <definedName name="ANNUAResRetail">#REF!</definedName>
    <definedName name="ANS">#REF!</definedName>
    <definedName name="anscount" hidden="1">1</definedName>
    <definedName name="Apartment_Income_Capitalization_Approach_Model">#REF!</definedName>
    <definedName name="apartments">#REF!</definedName>
    <definedName name="Apmt2">#REF!</definedName>
    <definedName name="Application_Development">#REF!</definedName>
    <definedName name="Application_Operating">#REF!</definedName>
    <definedName name="Approvers">#REF!</definedName>
    <definedName name="APR">#REF!</definedName>
    <definedName name="AprEndDate">#REF!</definedName>
    <definedName name="APRIL">#REF!</definedName>
    <definedName name="APT">#REF!</definedName>
    <definedName name="ar60days" hidden="1">{"Binder",#N/A,FALSE,"VARIANCES";"Binder",#N/A,FALSE,"DEPR";"Binder",#N/A,FALSE,"BAD DEBTS";"Binder",#N/A,FALSE,"ARrec";"Binder",#N/A,FALSE,"RECOVER";"Binder",#N/A,FALSE,"CAM DEPR";"Binder",#N/A,FALSE,"%RENT";"Binder",#N/A,FALSE,"NEWFASB";"Binder",#N/A,FALSE,"UNOREC CALC";"Binder",#N/A,FALSE,"MIE CALC";"Binder",#N/A,FALSE,"AMORT";"Binder",#N/A,FALSE,"6%LSE TEST";"Binder",#N/A,FALSE,"TI DETAIL";"Binder",#N/A,FALSE,"OTHER ASSETS";"Binder",#N/A,FALSE,"INTERCO";"Binder",#N/A,FALSE,"MGMT FEE";"Binder",#N/A,FALSE,"CIP INTEREST";"Binder",#N/A,FALSE,"CIP";"Binder",#N/A,FALSE,"RE TAXES";"Binder",#N/A,FALSE,"PAYROLL";"Binder",#N/A,FALSE,"OTHER LIAB";"Binder",#N/A,FALSE,"EQUITY"}</definedName>
    <definedName name="ARA_Threshold">#REF!</definedName>
    <definedName name="Area">#REF!</definedName>
    <definedName name="arew" hidden="1">{"cap_structure",#N/A,FALSE,"Graph-Mkt Cap";"price",#N/A,FALSE,"Graph-Price";"ebit",#N/A,FALSE,"Graph-EBITDA";"ebitda",#N/A,FALSE,"Graph-EBITDA"}</definedName>
    <definedName name="arg" hidden="1">{"inputs raw data",#N/A,TRUE,"INPUT"}</definedName>
    <definedName name="ARGUS7">#REF!</definedName>
    <definedName name="ARGUS8">#REF!</definedName>
    <definedName name="ark_rltd">OFFSET(#REF!,0,0,COUNT(#REF!),1)</definedName>
    <definedName name="ARP_Threshold">#REF!</definedName>
    <definedName name="as" hidden="1">{"Outflow 1",#N/A,FALSE,"Outflows-Inflows";"Outflow 2",#N/A,FALSE,"Outflows-Inflows";"Inflow 1",#N/A,FALSE,"Outflows-Inflows";"Inflow 2",#N/A,FALSE,"Outflows-Inflows"}</definedName>
    <definedName name="AS2DocOpenMode" hidden="1">"AS2DocumentEdit"</definedName>
    <definedName name="AS2HasNoAutoHeaderFooter" hidden="1">" "</definedName>
    <definedName name="asd" hidden="1">{#N/A,#N/A,FALSE,"Chart 2 by Prop Type"}</definedName>
    <definedName name="asdf2" hidden="1">{#N/A,#N/A,FALSE,"OperatingAssumptions"}</definedName>
    <definedName name="asdf3" hidden="1">{#N/A,#N/A,FALSE,"LoanAssumptions"}</definedName>
    <definedName name="asdf5" hidden="1">{"MonthlyRentRoll",#N/A,FALSE,"RentRoll"}</definedName>
    <definedName name="asdf7" hidden="1">{#N/A,#N/A,TRUE,"Summary";"AnnualRentRoll",#N/A,TRUE,"RentRoll";#N/A,#N/A,TRUE,"ExitStratigy";#N/A,#N/A,TRUE,"OperatingAssumptions"}</definedName>
    <definedName name="asdfas" hidden="1">{"print 1.6",#N/A,FALSE,"Sheet1";"print 2.6",#N/A,FALSE,"Sheet1";"print 3.6",#N/A,FALSE,"Sheet1";"print 4.6",#N/A,FALSE,"Sheet1";"print 5.6",#N/A,FALSE,"Sheet1";"print 6.6",#N/A,FALSE,"Sheet1"}</definedName>
    <definedName name="asdfasaa" hidden="1">{"print 1.6",#N/A,FALSE,"Sheet1";"print 2.6",#N/A,FALSE,"Sheet1";"print 3.6",#N/A,FALSE,"Sheet1";"print 4.6",#N/A,FALSE,"Sheet1";"print 5.6",#N/A,FALSE,"Sheet1";"print 6.6",#N/A,FALSE,"Sheet1"}</definedName>
    <definedName name="asdfasdf" hidden="1">{"rtn",#N/A,FALSE,"RTN";"tables",#N/A,FALSE,"RTN";"cf",#N/A,FALSE,"CF";"stats",#N/A,FALSE,"Stats";"prop",#N/A,FALSE,"Prop"}</definedName>
    <definedName name="asdfasdfasdfa" hidden="1">binary</definedName>
    <definedName name="asdfasfsa" hidden="1">binary</definedName>
    <definedName name="asdfg" hidden="1">{"rtn",#N/A,FALSE,"RTN";"tables",#N/A,FALSE,"RTN";"cf",#N/A,FALSE,"CF";"stats",#N/A,FALSE,"Stats";"prop",#N/A,FALSE,"Prop"}</definedName>
    <definedName name="asdfsd" hidden="1">binary</definedName>
    <definedName name="asf" hidden="1">binary</definedName>
    <definedName name="asfget" hidden="1">{"Page1",#N/A,FALSE,"7979";"Page2",#N/A,FALSE,"7979";"Page3",#N/A,FALSE,"7979"}</definedName>
    <definedName name="asfsaf" hidden="1">binary</definedName>
    <definedName name="ASIS">#REF!</definedName>
    <definedName name="asn">#REF!</definedName>
    <definedName name="ASPHALTPAVING">#REF!</definedName>
    <definedName name="ass" hidden="1">{"print 1.6",#N/A,FALSE,"Sheet1";"print 2.6",#N/A,FALSE,"Sheet1";"print 3.6",#N/A,FALSE,"Sheet1";"print 4.6",#N/A,FALSE,"Sheet1";"print 5.6",#N/A,FALSE,"Sheet1";"print 6.6",#N/A,FALSE,"Sheet1"}</definedName>
    <definedName name="AssessHist">#REF!</definedName>
    <definedName name="AssetFee">#REF!</definedName>
    <definedName name="AssetFee1">#REF!</definedName>
    <definedName name="AssetFee11">#REF!</definedName>
    <definedName name="AssetPercentage">#REF!</definedName>
    <definedName name="ASSETS">#REF!</definedName>
    <definedName name="ASSOCIATION">#REF!</definedName>
    <definedName name="asss" hidden="1">{"rtn",#N/A,FALSE,"RTN";"tables",#N/A,FALSE,"RTN";"cf",#N/A,FALSE,"CF";"stats",#N/A,FALSE,"Stats";"prop",#N/A,FALSE,"Prop"}</definedName>
    <definedName name="assump">#REF!</definedName>
    <definedName name="ASSUMPSR">#REF!</definedName>
    <definedName name="assumptions">#REF!</definedName>
    <definedName name="Assumptions1" hidden="1">{#N/A,#N/A,FALSE,"Capital Costs (Output)";#N/A,#N/A,FALSE,"Cash Flow";#N/A,#N/A,FALSE,"Leasing";#N/A,#N/A,FALSE,"Cash Flow (2)"}</definedName>
    <definedName name="Atlanta" hidden="1">{#N/A,#N/A,FALSE,"Chart 2 by Prop Type"}</definedName>
    <definedName name="Attach3" hidden="1">{"Grant",#N/A,FALSE,"Grant";"GP Developer",#N/A,FALSE,"GP &amp; Dev Loans";"Operating Analysis",#N/A,FALSE,"Operations";"Tax Credit",#N/A,FALSE,"Tax Credits";"Tax Credit Analysis",#N/A,FALSE,"TC Analysis"}</definedName>
    <definedName name="AUG">#REF!</definedName>
    <definedName name="AugEndDate">#REF!</definedName>
    <definedName name="AUGUST">#REF!</definedName>
    <definedName name="AvailableRooms">#REF!</definedName>
    <definedName name="aveparkcopy" hidden="1">{"View1",#N/A,FALSE,"Sheet1";"View2",#N/A,FALSE,"Sheet1"}</definedName>
    <definedName name="Average_from_Above_and_Regency__Combines_location__rate__RevPAR__occupancy">#REF!</definedName>
    <definedName name="AveTotalCost">#REF!</definedName>
    <definedName name="AveTotalPrice">#REF!</definedName>
    <definedName name="avg_sales_psf">#REF!</definedName>
    <definedName name="AVG_SUITE_SZ">#REF!</definedName>
    <definedName name="avg_unit_sz">#REF!</definedName>
    <definedName name="avgprice_unit">#REF!</definedName>
    <definedName name="avgsf_unit">#REF!</definedName>
    <definedName name="Awac1">#REF!</definedName>
    <definedName name="b" hidden="1">{"One",#N/A,FALSE,"CClub";"Two",#N/A,FALSE,"CClub";"Three",#N/A,FALSE,"CClub";"Four",#N/A,FALSE,"CClub";"Five",#N/A,FALSE,"CClub"}</definedName>
    <definedName name="B123456789" hidden="1">#REF!</definedName>
    <definedName name="BadLink" hidden="1">#REF!</definedName>
    <definedName name="Balance2">#REF!</definedName>
    <definedName name="Balloon_Payment_No.">#REF!</definedName>
    <definedName name="Balloon_Payment_Yes_No">#REF!</definedName>
    <definedName name="BALSH1992">#REF!</definedName>
    <definedName name="bamt">#REF!</definedName>
    <definedName name="BANK">#REF!</definedName>
    <definedName name="Base_Date">#REF!</definedName>
    <definedName name="Base_Year">#REF!</definedName>
    <definedName name="BaseTick">#REF!</definedName>
    <definedName name="BaseYear">#REF!</definedName>
    <definedName name="bb" localSheetId="2" hidden="1">{#N/A,#N/A,FALSE,"P&amp;L";#N/A,#N/A,FALSE,"Var_Fixed_cost"}</definedName>
    <definedName name="bb" hidden="1">{#N/A,#N/A,FALSE,"P&amp;L";#N/A,#N/A,FALSE,"Var_Fixed_cost"}</definedName>
    <definedName name="bb_2" localSheetId="2" hidden="1">{#N/A,#N/A,FALSE,"P&amp;L";#N/A,#N/A,FALSE,"Var_Fixed_cost"}</definedName>
    <definedName name="bb_2" hidden="1">{#N/A,#N/A,FALSE,"P&amp;L";#N/A,#N/A,FALSE,"Var_Fixed_cost"}</definedName>
    <definedName name="bbb" localSheetId="2" hidden="1">{#N/A,#N/A,FALSE,"P&amp;L";#N/A,#N/A,FALSE,"Var_Fixed_cost"}</definedName>
    <definedName name="bbb" hidden="1">{#N/A,#N/A,FALSE,"P&amp;L";#N/A,#N/A,FALSE,"Var_Fixed_cost"}</definedName>
    <definedName name="bbbbb" hidden="1">#REF!</definedName>
    <definedName name="bc" localSheetId="2" hidden="1">{#N/A,#N/A,FALSE,"P&amp;L";#N/A,#N/A,FALSE,"Var_Fixed_cost"}</definedName>
    <definedName name="bc" hidden="1">{#N/A,#N/A,FALSE,"P&amp;L";#N/A,#N/A,FALSE,"Var_Fixed_cost"}</definedName>
    <definedName name="bc_2" localSheetId="2" hidden="1">{#N/A,#N/A,FALSE,"P&amp;L";#N/A,#N/A,FALSE,"Var_Fixed_cost"}</definedName>
    <definedName name="bc_2" hidden="1">{#N/A,#N/A,FALSE,"P&amp;L";#N/A,#N/A,FALSE,"Var_Fixed_cost"}</definedName>
    <definedName name="bdcopy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bdinvestor" hidden="1">{"View1",#N/A,FALSE,"Sheet1";"View2",#N/A,FALSE,"Sheet1"}</definedName>
    <definedName name="Beg_Bal">#REF!</definedName>
    <definedName name="begin">#REF!</definedName>
    <definedName name="Beginning">#REF!</definedName>
    <definedName name="Beginning_balanc">#REF!</definedName>
    <definedName name="Beginning_balancA">#REF!</definedName>
    <definedName name="Beginning_balance">#REF!</definedName>
    <definedName name="Beginning_Balance_Column">#REF!</definedName>
    <definedName name="BENEFITS">#REF!</definedName>
    <definedName name="BEV">#REF!</definedName>
    <definedName name="BeverageExpense">#REF!</definedName>
    <definedName name="BevRev1">#REF!</definedName>
    <definedName name="BGTYear">#REF!</definedName>
    <definedName name="bhhh" hidden="1">#REF!</definedName>
    <definedName name="BI">#REF!</definedName>
    <definedName name="bic">#REF!</definedName>
    <definedName name="Bit_Initial_Investment">#REF!</definedName>
    <definedName name="bldg_value">#REF!</definedName>
    <definedName name="BLDGRESERVE">#REF!</definedName>
    <definedName name="bleed">#REF!</definedName>
    <definedName name="Blended_int_rate">#REF!</definedName>
    <definedName name="BlendedStockPrice">#REF!</definedName>
    <definedName name="bnamt">#REF!</definedName>
    <definedName name="Body">#REF!</definedName>
    <definedName name="bogus" hidden="1">{"CF",#N/A,FALSE,"Cash Flow";"RET",#N/A,FALSE,"Returns";"NPV",#N/A,FALSE,"Values";"ASMPT",#N/A,FALSE,"Assumptions"}</definedName>
    <definedName name="bogus2" hidden="1">{"CF",#N/A,FALSE,"Cash Flow";"RET",#N/A,FALSE,"Returns";"NPV",#N/A,FALSE,"Values";"ASMPT",#N/A,FALSE,"Assumptions"}</definedName>
    <definedName name="BOND_ADJ">#REF!</definedName>
    <definedName name="Bond_Amount">#REF!</definedName>
    <definedName name="BOND_INS_A">#REF!</definedName>
    <definedName name="BOND_INS_B">#REF!</definedName>
    <definedName name="BOND_INS_C">#REF!</definedName>
    <definedName name="BOND_INS_D">#REF!</definedName>
    <definedName name="BOND_INS_E">#REF!</definedName>
    <definedName name="Bond_Term">#REF!</definedName>
    <definedName name="BONS_INS_E">#REF!</definedName>
    <definedName name="BookValuePerShare">#REF!</definedName>
    <definedName name="bothic">#REF!</definedName>
    <definedName name="bou" hidden="1">{"tableau a",#N/A,FALSE,"Feuil3";"tableau b",#N/A,FALSE,"Feuil3"}</definedName>
    <definedName name="branch">#REF!</definedName>
    <definedName name="brand">#REF!</definedName>
    <definedName name="Bridge" localSheetId="2" hidden="1">{"'Highlights'!$A$1:$M$123"}</definedName>
    <definedName name="Bridge" hidden="1">{"'Highlights'!$A$1:$M$123"}</definedName>
    <definedName name="bs">#REF!</definedName>
    <definedName name="BS_AP">#REF!</definedName>
    <definedName name="BS_AR">#REF!</definedName>
    <definedName name="BS_cash">#REF!</definedName>
    <definedName name="BS_CL">#REF!</definedName>
    <definedName name="BS_commonequity">#REF!</definedName>
    <definedName name="BS_convertdebt">#REF!</definedName>
    <definedName name="BS_Convertible_Debt">#REF!</definedName>
    <definedName name="BS_Convertible_Preferred">#REF!</definedName>
    <definedName name="BS_convertpref">#REF!</definedName>
    <definedName name="bs_date">#REF!</definedName>
    <definedName name="BS_Deferred_Taxes">#REF!</definedName>
    <definedName name="BS_deferredcomp">#REF!</definedName>
    <definedName name="BS_deferredtaxes">#REF!</definedName>
    <definedName name="BS_discontoper">#REF!</definedName>
    <definedName name="BS_Equity">#REF!</definedName>
    <definedName name="BS_goodwill">#REF!</definedName>
    <definedName name="BS_intangibles">#REF!</definedName>
    <definedName name="BS_inventories">#REF!</definedName>
    <definedName name="BS_Inventory">#REF!</definedName>
    <definedName name="BS_Investments">#REF!</definedName>
    <definedName name="BS_minority">#REF!</definedName>
    <definedName name="BS_Other_CA">#REF!</definedName>
    <definedName name="BS_Other_LTAssets">#REF!</definedName>
    <definedName name="BS_Other_LTLiabilities">#REF!</definedName>
    <definedName name="BS_otherCA">#REF!</definedName>
    <definedName name="BS_otherCL">#REF!</definedName>
    <definedName name="BS_otherLTA">#REF!</definedName>
    <definedName name="BS_otherLTL">#REF!</definedName>
    <definedName name="BS_payables">#REF!</definedName>
    <definedName name="BS_PPE">#REF!</definedName>
    <definedName name="BS_receivables">#REF!</definedName>
    <definedName name="BS_revolver">#REF!</definedName>
    <definedName name="BS_Straight_Debt">#REF!</definedName>
    <definedName name="BS_Straight_Preferred">#REF!</definedName>
    <definedName name="BS_straightdebt">#REF!</definedName>
    <definedName name="BS_straightpref">#REF!</definedName>
    <definedName name="BSError">#REF!</definedName>
    <definedName name="btbt">#REF!</definedName>
    <definedName name="BUD2004bud">#REF!</definedName>
    <definedName name="BUDGET">#REF!</definedName>
    <definedName name="Budget_Year">#REF!</definedName>
    <definedName name="BudgetSumm" hidden="1">{#N/A,#N/A,FALSE,"Cashflow Analysis";#N/A,#N/A,FALSE,"Sensitivity Analysis";#N/A,#N/A,FALSE,"PV";#N/A,#N/A,FALSE,"Pro Forma"}</definedName>
    <definedName name="BudgetSumm.2" hidden="1">{#N/A,#N/A,FALSE,"Cashflow Analysis";#N/A,#N/A,FALSE,"Sensitivity Analysis";#N/A,#N/A,FALSE,"PV";#N/A,#N/A,FALSE,"Pro Forma"}</definedName>
    <definedName name="BUDS">#REF!</definedName>
    <definedName name="Building">#REF!</definedName>
    <definedName name="Building_200_SF">#REF!</definedName>
    <definedName name="Building_400_SF">#REF!</definedName>
    <definedName name="Building_500_SF">#REF!</definedName>
    <definedName name="BUILDING_Residential__AREA">#REF!</definedName>
    <definedName name="Building_Square_Footage">#REF!</definedName>
    <definedName name="Building_Square_Footage1">#REF!</definedName>
    <definedName name="Building_Type">#REF!</definedName>
    <definedName name="BuildingSquareFootage">#REF!</definedName>
    <definedName name="bulkhead_mech_sq_ft">#REF!</definedName>
    <definedName name="BusinessValue">#REF!</definedName>
    <definedName name="c_date">#REF!</definedName>
    <definedName name="c_dateswitch">#REF!</definedName>
    <definedName name="c_pageswitch">#REF!</definedName>
    <definedName name="c_pathswitch">#REF!</definedName>
    <definedName name="c_proj_switch">#REF!</definedName>
    <definedName name="C_R_1">#REF!</definedName>
    <definedName name="C_R_2">#REF!</definedName>
    <definedName name="c_SSBswitch">#REF!</definedName>
    <definedName name="C_YR1">#REF!</definedName>
    <definedName name="C_YR10">#REF!</definedName>
    <definedName name="C_YR11">#REF!</definedName>
    <definedName name="C_YR2">#REF!</definedName>
    <definedName name="C_YR3">#REF!</definedName>
    <definedName name="C_YR4">#REF!</definedName>
    <definedName name="C_YR5">#REF!</definedName>
    <definedName name="C_YR6">#REF!</definedName>
    <definedName name="C_YR7">#REF!</definedName>
    <definedName name="C_YR8">#REF!</definedName>
    <definedName name="C_YR9">#REF!</definedName>
    <definedName name="CA">#REF!</definedName>
    <definedName name="CAGR">#REF!</definedName>
    <definedName name="CalendarCFPS1">#REF!</definedName>
    <definedName name="CalendarCFPS2">#REF!</definedName>
    <definedName name="CalendarCFPS3">#REF!</definedName>
    <definedName name="CalendarEPS1">#REF!</definedName>
    <definedName name="CalendarEPS2">#REF!</definedName>
    <definedName name="CalendarEPS3">#REF!</definedName>
    <definedName name="Cancel_Option">#REF!</definedName>
    <definedName name="cap">#REF!</definedName>
    <definedName name="cap.rate">#REF!</definedName>
    <definedName name="CAP_INT_MO_1">#REF!</definedName>
    <definedName name="CAP_INT_MO_2">#REF!</definedName>
    <definedName name="CAP_INT_MO_3">#REF!</definedName>
    <definedName name="CAP_INT_MO_4">#REF!</definedName>
    <definedName name="CAP_INT_MO_5">#REF!</definedName>
    <definedName name="CAP_INT_RATE_1">#REF!</definedName>
    <definedName name="CAP_INT_RATE_2">#REF!</definedName>
    <definedName name="CAP_INT_RATE_3">#REF!</definedName>
    <definedName name="CAP_INT_RATE_4">#REF!</definedName>
    <definedName name="CAP_INT_RATE_5">#REF!</definedName>
    <definedName name="CAPconTable">#REF!</definedName>
    <definedName name="capex">#REF!</definedName>
    <definedName name="CapExAmort">#REF!</definedName>
    <definedName name="CapExAmortStart1">#REF!</definedName>
    <definedName name="CapExAmortStart10">#REF!</definedName>
    <definedName name="CapExAmortStart2">#REF!</definedName>
    <definedName name="CapExAmortStart3">#REF!</definedName>
    <definedName name="CapExAmortStart4">#REF!</definedName>
    <definedName name="CapExAmortStart5">#REF!</definedName>
    <definedName name="CapExAmortStart6">#REF!</definedName>
    <definedName name="CapExAmortStart7">#REF!</definedName>
    <definedName name="CapExAmortStart8">#REF!</definedName>
    <definedName name="CapExAmortStart9">#REF!</definedName>
    <definedName name="CapExAmount1">#REF!</definedName>
    <definedName name="CapExAmount10">#REF!</definedName>
    <definedName name="CapExAmount2">#REF!</definedName>
    <definedName name="CapExAmount3">#REF!</definedName>
    <definedName name="CapExAmount4">#REF!</definedName>
    <definedName name="CapExAmount5">#REF!</definedName>
    <definedName name="CapExAmount6">#REF!</definedName>
    <definedName name="CapExAmount7">#REF!</definedName>
    <definedName name="CapExAmount8">#REF!</definedName>
    <definedName name="CapExAmount9">#REF!</definedName>
    <definedName name="CapexFinancePercent">#REF!</definedName>
    <definedName name="CapExLoan1">#REF!</definedName>
    <definedName name="CapExLoan10">#REF!</definedName>
    <definedName name="CapExLoan2">#REF!</definedName>
    <definedName name="CapExLoan3">#REF!</definedName>
    <definedName name="CapExLoan4">#REF!</definedName>
    <definedName name="CapExLoan5">#REF!</definedName>
    <definedName name="CapExLoan6">#REF!</definedName>
    <definedName name="CapExLoan7">#REF!</definedName>
    <definedName name="CapExLoan8">#REF!</definedName>
    <definedName name="CapExLoan9">#REF!</definedName>
    <definedName name="CAPEXP">#REF!</definedName>
    <definedName name="CapExPymt1">#REF!</definedName>
    <definedName name="CapExPymt10">#REF!</definedName>
    <definedName name="CapExPymt2">#REF!</definedName>
    <definedName name="CapExPymt3">#REF!</definedName>
    <definedName name="CapExPymt4">#REF!</definedName>
    <definedName name="CapExPymt5">#REF!</definedName>
    <definedName name="CapExPymt6">#REF!</definedName>
    <definedName name="CapExPymt7">#REF!</definedName>
    <definedName name="CapExPymt8">#REF!</definedName>
    <definedName name="CapExPymt9">#REF!</definedName>
    <definedName name="CapExRate">#REF!</definedName>
    <definedName name="CapexTerm">#REF!</definedName>
    <definedName name="capgains">#REF!</definedName>
    <definedName name="CAPITAL_BUDGET">#REF!</definedName>
    <definedName name="CapitalDistribution">#REF!</definedName>
    <definedName name="CapitalExpenditures">#REF!</definedName>
    <definedName name="CapitalExpendituresMargin">#REF!</definedName>
    <definedName name="CapitalizedInterest">#REF!</definedName>
    <definedName name="CapitalizedInterestExpense">#REF!</definedName>
    <definedName name="CapX">#REF!</definedName>
    <definedName name="Case">#REF!</definedName>
    <definedName name="CaseNum">#REF!</definedName>
    <definedName name="CASER">#REF!</definedName>
    <definedName name="CASH">#REF!</definedName>
    <definedName name="Cash_2">#REF!</definedName>
    <definedName name="Cash_Flow_Averages">#REF!</definedName>
    <definedName name="cash_fv">#REF!</definedName>
    <definedName name="Cash_inv_rate">#REF!</definedName>
    <definedName name="cash_terminal">#REF!</definedName>
    <definedName name="CASH1">#REF!</definedName>
    <definedName name="CASH2">#REF!</definedName>
    <definedName name="CASH3">#REF!</definedName>
    <definedName name="CASH4">#REF!</definedName>
    <definedName name="CashAndMarketableSecurities">#REF!</definedName>
    <definedName name="CASHFLOW">#REF!</definedName>
    <definedName name="CASHFLOW1">#REF!</definedName>
    <definedName name="CASHFLOW2">#REF!</definedName>
    <definedName name="CashFlowCalc">#REF!</definedName>
    <definedName name="CashFlowFromOperations">#REF!</definedName>
    <definedName name="CASHLAND">#REF!</definedName>
    <definedName name="CASHR">#REF!</definedName>
    <definedName name="CASHR2">#REF!</definedName>
    <definedName name="CASHR3">#REF!</definedName>
    <definedName name="CASHR5">#REF!</definedName>
    <definedName name="CashYield">#REF!</definedName>
    <definedName name="Casualty">#REF!</definedName>
    <definedName name="Casualty_Insurance_Carrier">#REF!</definedName>
    <definedName name="Casualty_Insurance_Carrier_Ratings">#REF!</definedName>
    <definedName name="Casualty_Insurance_Coverage">#REF!</definedName>
    <definedName name="Casualty_Insurance_Premium">#REF!</definedName>
    <definedName name="Casualty_Insurance_Required">#REF!</definedName>
    <definedName name="Casualty_PMLRatio_FloodZone_Tier">#REF!</definedName>
    <definedName name="CAWCQWE" hidden="1">#REF!</definedName>
    <definedName name="cb_Add_CalloutChart_24_opts" hidden="1">"1, 9, 1, False, 2, False, False, , 0, False, False, 1, 1"</definedName>
    <definedName name="cb_Add_CalloutChart_25_opts" hidden="1">"1, 10, 1, False, 2, False, False, , 0, False, True, 1, 1"</definedName>
    <definedName name="cb_Add_CalloutChart_26_opts" hidden="1">"1, 9, 1, False, 2, False, False, , 0, False, True, 1, 1"</definedName>
    <definedName name="cb_ALT_STACKED_COLUMNChart_22_opts" hidden="1">"1, 3, 1, False, 2, True, False, , 0, False, True, 1, 2"</definedName>
    <definedName name="cb_ALT_STACKED_COLUMNChart_23_opts" hidden="1">"1, 3, 1, False, 2, True, False, , 0, False, True, 1, 2"</definedName>
    <definedName name="cb_Chart_1_opts" hidden="1">"1, 1, 1, False, 2, False, False, , 0, False, False, 1, 1"</definedName>
    <definedName name="cb_Chart_10_opts" hidden="1">"1, 8, 1, False, 2, False, False, , 0, False, False, 1, 1"</definedName>
    <definedName name="cb_Chart_100032_opts" hidden="1">"1, 10, 1, False, 2, True, False, , 0, False, False, 2, 2"</definedName>
    <definedName name="cb_Chart_10104_opts" hidden="1">"1, 5, 1, False, 2, True, False, , 0, True, False, 2, 1"</definedName>
    <definedName name="cb_Chart_10401_opts" hidden="1">"1, 5, 1, False, 2, False, False, , 0, True, False, 2, 1"</definedName>
    <definedName name="cb_Chart_10736_opts" hidden="1">"1, 10, 1, False, 2, False, False, , 0, False, False, 2, 2"</definedName>
    <definedName name="cb_Chart_11_opts" hidden="1">"1, 5, 1, False, 2, False, False, , 0, False, False, 1, 2"</definedName>
    <definedName name="cb_Chart_12_opts" hidden="1">"1, 2, 1, False, 2, True, False, , 0, True, False, 2, 1"</definedName>
    <definedName name="cb_Chart_13_opts" hidden="1">"1, 2, 1, False, 2, True, False, , 0, True, False, 2, 1"</definedName>
    <definedName name="cb_Chart_14_opts" hidden="1">"2, 2, 2, True, 2, False, False, , 0, False, True, 1, 2"</definedName>
    <definedName name="cb_Chart_15_opts" hidden="1">"1, 2, 1, False, 2, True, False, , 0, True, False, 2, 1"</definedName>
    <definedName name="cb_Chart_1501_opts" hidden="1">"1, 10, 1, False, 2, True, False, , 0, False, False, 2, 2"</definedName>
    <definedName name="cb_Chart_16_opts" hidden="1">"1, 2, 1, False, 2, True, False, , 0, True, False, 2, 1"</definedName>
    <definedName name="cb_Chart_1670_opts" hidden="1">"1, 5, 1, False, 2, True, False, , 0, False, False, 2, 1"</definedName>
    <definedName name="cb_Chart_17_opts" hidden="1">"1, 2, 1, False, 2, True, False, , 0, True, False, 2, 1"</definedName>
    <definedName name="cb_Chart_18_opts" hidden="1">"1, 9, 1, False, 2, False, False, , 0, False, False, 1, 1"</definedName>
    <definedName name="cb_Chart_19_opts" hidden="1">"1, 2, 1, False, 2, True, False, , 0, True, False, 2, 1"</definedName>
    <definedName name="cb_Chart_2_opts" hidden="1">"1, 1, 1, False, 2, True, False, , 0, False, False, 1, 1"</definedName>
    <definedName name="cb_Chart_20_opts" hidden="1">"1, 9, 1, False, 2, False, False, , 0, False, False, 1, 1"</definedName>
    <definedName name="cb_Chart_21_opts" hidden="1">"1, 2, 1, False, 2, False, False, , 0, False, False, 2, 1"</definedName>
    <definedName name="cb_Chart_22_opts" hidden="1">"1, 2, 1, False, 2, True, False, , 0, False, False, 2, 1"</definedName>
    <definedName name="cb_Chart_22784_opts" hidden="1">"1, 9, 1, False, 2, False, False, , 0, False, True, 1, 2"</definedName>
    <definedName name="cb_Chart_23_opts" hidden="1">"1, 9, 1, False, 2, False, False, , 0, False, False, 1, 1"</definedName>
    <definedName name="cb_Chart_24_opts" hidden="1">"1, 2, 1, False, 2, False, False, , 0, False, False, 2, 1"</definedName>
    <definedName name="cb_Chart_24490_opts" hidden="1">"1, 10, 1, False, 2, True, False, , 0, False, False, 2, 2"</definedName>
    <definedName name="cb_Chart_25_opts" hidden="1">"1, 3, 1, False, 2, False, False, , 0, True, True, 1, 2"</definedName>
    <definedName name="cb_Chart_26_opts" hidden="1">"1, 2, 1, False, 2, False, False, , 0, False, False, 2, 1"</definedName>
    <definedName name="cb_Chart_26476_opts" hidden="1">"1, 1, 1, False, 2, True, False, , 0, False, False, 1, 2"</definedName>
    <definedName name="cb_Chart_27_opts" hidden="1">"1, 1, 1, False, 2, True, False, , 0, False, True, 1, 2"</definedName>
    <definedName name="cb_Chart_28_opts" hidden="1">"1, 3, 1, False, 2, True, False, , 0, False, True, 1, 2"</definedName>
    <definedName name="cb_Chart_28031_opts" hidden="1">"1, 1, 1, False, 2, True, False, , 0, False, False, 1, 2"</definedName>
    <definedName name="cb_Chart_28545_opts" hidden="1">"1, 5, 1, False, 2, True, False, , 0, False, True, 2, 1"</definedName>
    <definedName name="cb_Chart_29_opts" hidden="1">"1, 3, 1, False, 2, False, False, , 0, False, False, 1, 1"</definedName>
    <definedName name="cb_Chart_29053_opts" hidden="1">"1, 10, 1, False, 2, True, False, , 0, False, False, 2, 2"</definedName>
    <definedName name="cb_Chart_29913_opts" hidden="1">"1, 1, 1, False, 2, False, False, , 0, False, False, 1, 1"</definedName>
    <definedName name="cb_Chart_3_opts" hidden="1">"1, 1, 1, False, 2, True, False, , 0, False, False, 1, 2"</definedName>
    <definedName name="cb_Chart_30_opts" hidden="1">"1, 3, 1, False, 2, True, False, , 0, False, True, 1, 2"</definedName>
    <definedName name="cb_Chart_30292_opts" hidden="1">"1, 1, 1, False, 2, False, False, , 0, False, False, 1, 2"</definedName>
    <definedName name="cb_Chart_31_opts" hidden="1">"1, 1, 1, False, 2, True, False, , 0, True, True, 2, 2"</definedName>
    <definedName name="cb_Chart_32_opts" hidden="1">"1, 1, 1, False, 2, True, False, , 0, False, False, 2, 2"</definedName>
    <definedName name="cb_Chart_33_opts" hidden="1">"1, 1, 1, False, 2, True, False, , 0, False, True, 3, 2"</definedName>
    <definedName name="cb_Chart_34_opts" hidden="1">"1, 10, 1, False, 2, True, False, , 0, False, False, 2, 2"</definedName>
    <definedName name="cb_Chart_36498_opts" hidden="1">"1, 1, 1, False, 2, True, False, , 0, False, False, 1, 2"</definedName>
    <definedName name="cb_Chart_37450_opts" hidden="1">"1, 10, 1, False, 2, True, False, , 0, False, False, 2, 2"</definedName>
    <definedName name="cb_Chart_4_opts" hidden="1">"1, 1, 1, False, 2, False, False, , 0, False, False, 1, 2"</definedName>
    <definedName name="cb_Chart_41_opts" hidden="1">"1, 10, 1, False, 2, True, False, , 0, False, False, 2, 1"</definedName>
    <definedName name="cb_Chart_41499_opts" hidden="1">"1, 10, 1, False, 2, True, False, , 0, False, False, 2, 2"</definedName>
    <definedName name="cb_Chart_42_opts" hidden="1">"1, 10, 1, False, 2, True, False, , 0, False, False, 2, 1"</definedName>
    <definedName name="cb_Chart_43_opts" hidden="1">"1, 10, 1, False, 2, True, False, , 0, False, False, 2, 1"</definedName>
    <definedName name="cb_Chart_4634_opts" hidden="1">"1, 10, 1, False, 2, True, False, , 0, False, False, 2, 2"</definedName>
    <definedName name="cb_Chart_4664_opts" hidden="1">"1, 5, 1, False, 2, True, False, , 0, False, True, 1, 2"</definedName>
    <definedName name="cb_Chart_46965_opts" hidden="1">"1, 1, 1, False, 2, False, False, , 0, False, False, 1, 1"</definedName>
    <definedName name="cb_Chart_5_opts" hidden="1">"1, 1, 1, False, 2, True, False, , 0, False, False, 1, 2"</definedName>
    <definedName name="cb_Chart_52582_opts" hidden="1">"1, 1, 1, False, 2, False, False, , 0, False, False, 1, 2"</definedName>
    <definedName name="cb_Chart_53437_opts" hidden="1">"1, 10, 1, False, 2, True, False, , 0, False, False, 2, 2"</definedName>
    <definedName name="cb_Chart_53482_opts" hidden="1">"1, 10, 1, False, 2, True, False, , 0, False, False, 2, 2"</definedName>
    <definedName name="cb_Chart_54_opts" hidden="1">"1, 3, 1, False, 2, False, False, , 0, False, True, 2, 2"</definedName>
    <definedName name="cb_Chart_5449_opts" hidden="1">"1, 1, 1, False, 2, False, False, , 0, False, False, 1, 1"</definedName>
    <definedName name="cb_Chart_5723_opts" hidden="1">"1, 1, 1, False, 2, True, False, , 0, False, True, 1, 2"</definedName>
    <definedName name="cb_Chart_57613_opts" hidden="1">"1, 5, 1, False, 2, True, False, , 0, False, True, 2, 1"</definedName>
    <definedName name="cb_Chart_58046_opts" hidden="1">"1, 10, 1, False, 2, True, False, , 0, False, False, 2, 2"</definedName>
    <definedName name="cb_Chart_59010_opts" hidden="1">"1, 2, 1, False, 2, False, False, , 0, False, False, 2, 1"</definedName>
    <definedName name="cb_Chart_59340_opts" hidden="1">"1, 1, 1, False, 2, False, False, , 0, False, False, 1, 1"</definedName>
    <definedName name="cb_Chart_6_opts" hidden="1">"1, 1, 1, False, 2, True, False, , 0, False, False, 1, 2"</definedName>
    <definedName name="cb_Chart_62364_opts" hidden="1">"1, 1, 1, False, 2, True, False, , 0, False, False, 1, 2"</definedName>
    <definedName name="cb_Chart_64876_opts" hidden="1">"1, 1, 1, False, 2, True, False, , 0, False, False, 1, 2"</definedName>
    <definedName name="cb_Chart_67711_opts" hidden="1">"1, 10, 1, False, 2, True, False, , 0, False, False, 2, 2"</definedName>
    <definedName name="cb_Chart_69605_opts" hidden="1">"1, 2, 1, False, 2, False, False, , 0, False, False, 2, 1"</definedName>
    <definedName name="cb_Chart_7_opts" hidden="1">"1, 5, 1, False, 2, True, False, , 0, False, True, 1, 2"</definedName>
    <definedName name="cb_Chart_70_opts" hidden="1">"1, 10, 1, False, 2, True, False, , 0, False, False, 1, 1"</definedName>
    <definedName name="cb_Chart_70648_opts" hidden="1">"1, 1, 1, False, 2, True, False, , 0, False, False, 2, 2"</definedName>
    <definedName name="cb_Chart_70997_opts" hidden="1">"1, 10, 1, False, 2, False, False, , 0, False, False, 1, 1"</definedName>
    <definedName name="cb_Chart_71_opts" hidden="1">"1, 10, 1, False, 2, False, False, , 0, False, False, 1, 1"</definedName>
    <definedName name="cb_Chart_72_opts" hidden="1">"1, 10, 1, False, 2, True, False, , 0, False, False, 1, 1"</definedName>
    <definedName name="cb_Chart_73_opts" hidden="1">"1, 10, 1, False, 2, False, False, , 0, False, False, 1, 1"</definedName>
    <definedName name="cb_Chart_76165_opts" hidden="1">"1, 10, 1, False, 2, True, False, , 0, False, False, 2, 2"</definedName>
    <definedName name="cb_Chart_76804_opts" hidden="1">"1, 1, 1, False, 2, False, False, , 0, False, False, 1, 1"</definedName>
    <definedName name="cb_Chart_77567_opts" hidden="1">"1, 10, 1, False, 2, False, False, , 0, False, False, 1, 1"</definedName>
    <definedName name="cb_Chart_79140_opts" hidden="1">"1, 10, 1, False, 2, True, False, , 0, False, False, 2, 2"</definedName>
    <definedName name="cb_Chart_79981_opts" hidden="1">"1, 5, 1, False, 2, True, False, , 0, True, False, 2, 1"</definedName>
    <definedName name="cb_Chart_8_opts" hidden="1">"1, 3, 1, False, 2, True, False, , 0, False, True, 1, 2"</definedName>
    <definedName name="cb_Chart_81541_opts" hidden="1">"1, 10, 1, False, 2, True, False, , 0, False, False, 2, 2"</definedName>
    <definedName name="cb_Chart_82552_opts" hidden="1">"1, 1, 1, False, 2, True, False, , 0, False, False, 1, 2"</definedName>
    <definedName name="cb_Chart_83072_opts" hidden="1">"1, 1, 1, False, 2, True, False, , 0, False, False, 1, 2"</definedName>
    <definedName name="cb_Chart_86354_opts" hidden="1">"1, 10, 1, False, 2, False, False, , 0, False, False, 1, 1"</definedName>
    <definedName name="cb_Chart_87236_opts" hidden="1">"1, 1, 1, False, 2, True, False, , 0, False, False, 1, 2"</definedName>
    <definedName name="cb_Chart_9_opts" hidden="1">"1, 8, 1, False, 2, False, False, , 0, False, False, 1, 1"</definedName>
    <definedName name="cb_Chart_91188_opts" hidden="1">"1, 8, 1, False, 2, False, False, , 0, False, False, 1, 2"</definedName>
    <definedName name="cb_Chart_95047_opts" hidden="1">"1, 1, 1, False, 2, False, False, , 0, False, False, 1, 2"</definedName>
    <definedName name="cb_Chart_96286_opts" hidden="1">"1, 10, 1, False, 2, True, False, , 0, False, False, 2, 2"</definedName>
    <definedName name="cb_Chart_98091_opts" hidden="1">"1, 2, 1, False, 2, False, False, , 0, False, False, 2, 1"</definedName>
    <definedName name="cb_Chart_98700_opts" hidden="1">"1, 8, 1, False, 2, False, False, , 0, False, False, 1, 2"</definedName>
    <definedName name="cb_Copy_Chart_w_New_DataChart_10_opts" hidden="1">"2, 1, 1, True, 4, False, False, , 0, False, False, 2, 2"</definedName>
    <definedName name="cb_Copy_Chart_w_New_DataChart_7_opts" hidden="1">"2, 1, 1, True, 4, False, False, , 0, False, False, 2, 2"</definedName>
    <definedName name="cb_Copy_Chart_w_New_DataChart_8_opts" hidden="1">"2, 1, 1, True, 4, False, False, , 0, False, False, 2, 2"</definedName>
    <definedName name="cb_Copy_Chart_w_New_DataChart_9_opts" hidden="1">"2, 1, 1, True, 4, False, False, , 0, False, False, 2, 2"</definedName>
    <definedName name="cb_Dimension_Pie_ChartsChart_1_opts" hidden="1">"1, 1, 1, False, 2, True, False, , 0, False, False, 2, 2"</definedName>
    <definedName name="cb_Dimension_Pie_ChartsChart_2_opts" hidden="1">"1, 10, 1, False, 2, True, False, , 0, False, False, 2, 2"</definedName>
    <definedName name="cb_Export_LegendChart_14_opts" hidden="1">"1, 10, 1, False, 2, True, False, , 0, False, False, 2, 2"</definedName>
    <definedName name="cb_Export_LegendChart_15_opts" hidden="1">"1, 10, 1, False, 2, True, False, , 0, False, False, 2, 2"</definedName>
    <definedName name="cb_PieChart_16_opts" hidden="1">"1, 10, 1, False, 2, True, False, , 0, False, False, 2, 2"</definedName>
    <definedName name="cb_sChart_1501_opts" hidden="1">"1, 2, 1, False, 2, False, False, , 0, False, False, 2, 1"</definedName>
    <definedName name="cb_sChart_26476_opts" hidden="1">"1, 4, 1, False, 2, True, False, , 0, False, False, 1, 2"</definedName>
    <definedName name="cb_sChart_28031_opts" hidden="1">"1, 4, 1, False, 2, True, False, , 0, False, False, 1, 1"</definedName>
    <definedName name="cb_sChart_29053_opts" hidden="1">"1, 2, 1, False, 2, False, False, , 0, False, False, 2, 1"</definedName>
    <definedName name="cb_sChart_29913_opts" hidden="1">"1, 3, 1, False, 2, False, False, , 0, False, True, 2, 2"</definedName>
    <definedName name="cb_sChart_30292_opts" hidden="1">"1, 2, 1, False, 2, False, False, , 0, False, False, 2, 1"</definedName>
    <definedName name="cb_sChart_36498_opts" hidden="1">"1, 3, 1, False, 2, False, False, , 0, False, False, 1, 2"</definedName>
    <definedName name="cb_sChart_37450_opts" hidden="1">"1, 1, 1, False, 2, True, False, , 0, False, False, 1, 2"</definedName>
    <definedName name="cb_sChart_41499_opts" hidden="1">"1, 2, 1, False, 2, False, False, , 0, False, False, 2, 1"</definedName>
    <definedName name="cb_sChart_4634_opts" hidden="1">"1, 2, 1, False, 2, False, False, , 0, False, False, 2, 1"</definedName>
    <definedName name="cb_sChart_46965_opts" hidden="1">"1, 1, 1, False, 2, False, False, , 0, False, False, 1, 1"</definedName>
    <definedName name="cb_sChart_52582_opts" hidden="1">"1, 5, 1, False, 2, False, False, , 0, False, True, 1, 2"</definedName>
    <definedName name="cb_sChart_53437_opts" hidden="1">"1, 1, 1, False, 2, True, False, , 0, False, False, 1, 2"</definedName>
    <definedName name="cb_sChart_5449_opts" hidden="1">"1, 3, 1, False, 2, False, False, , 0, False, True, 2, 2"</definedName>
    <definedName name="cb_sChart_5723_opts" hidden="1">"1, 1, 1, False, 2, True, False, , 0, False, False, 2, 1"</definedName>
    <definedName name="cb_sChart_58046_opts" hidden="1">"1, 1, 1, False, 2, True, False, , 0, False, False, 1, 2"</definedName>
    <definedName name="cb_sChart_59010_opts" hidden="1">"1, 5, 1, False, 2, True, False, , 0, False, False, 2, 1"</definedName>
    <definedName name="cb_sChart_59340_opts" hidden="1">"1, 3, 1, False, 2, False, False, , 0, False, True, 2, 2"</definedName>
    <definedName name="cb_sChart_62364_opts" hidden="1">"1, 3, 1, False, 2, False, False, , 0, False, True, 2, 2"</definedName>
    <definedName name="cb_sChart_64876_opts" hidden="1">"1, 5, 1, False, 2, True, False, , 0, False, False, 2, 2"</definedName>
    <definedName name="cb_sChart_70648_opts" hidden="1">"1, 1, 1, False, 2, False, False, , 0, False, False, 1, 1"</definedName>
    <definedName name="cb_sChart_70997_opts" hidden="1">"1, 2, 1, False, 2, False, False, , 0, False, False, 2, 1"</definedName>
    <definedName name="cb_sChart_76165_opts" hidden="1">"1, 2, 1, False, 2, False, False, , 0, False, False, 2, 1"</definedName>
    <definedName name="cb_sChart_76804_opts" hidden="1">"1, 3, 1, False, 2, False, False, , 0, False, True, 2, 2"</definedName>
    <definedName name="cb_sChart_77567_opts" hidden="1">"1, 2, 1, False, 2, False, False, , 0, False, False, 2, 1"</definedName>
    <definedName name="cb_sChart_79140_opts" hidden="1">"1, 1, 1, False, 2, True, False, , 0, False, False, 1, 2"</definedName>
    <definedName name="cb_sChart_81541_opts" hidden="1">"1, 2, 1, False, 2, False, False, , 0, False, False, 2, 1"</definedName>
    <definedName name="cb_sChart_82552_opts" hidden="1">"1, 4, 1, False, 2, True, False, , 0, False, False, 2, 1"</definedName>
    <definedName name="cb_sChart_83072_opts" hidden="1">"1, 4, 1, False, 2, True, False, , 0, False, False, 2, 1"</definedName>
    <definedName name="cb_sChart_86354_opts" hidden="1">"1, 1, 1, False, 2, True, False, , 0, False, False, 1, 2"</definedName>
    <definedName name="cb_sChart_87236_opts" hidden="1">"1, 2, 1, False, 2, False, False, , 0, False, False, 2, 1"</definedName>
    <definedName name="cb_sChart_95047_opts" hidden="1">"1, 3, 1, False, 2, False, False, , 0, False, False, 1, 2"</definedName>
    <definedName name="cb_sChart_96286_opts" hidden="1">"1, 2, 1, False, 2, False, False, , 0, False, False, 2, 1"</definedName>
    <definedName name="cb_sChart12595BBC_opts" hidden="1">"1, 1, 1, False, 2, True, False, , 0, False, False, 2, 2"</definedName>
    <definedName name="cb_sChart12595E44_opts" hidden="1">"1, 3, 1, False, 2, True, False, , 0, True, False, 2, 2"</definedName>
    <definedName name="cb_sChart14F668C5_opts" hidden="1">"1, 9, 1, False, 2, False, False, , 0, False, True, 1, 1"</definedName>
    <definedName name="cb_sChart14F68902_opts" hidden="1">"1, 9, 1, False, 2, False, False, , 0, False, True, 1, 1"</definedName>
    <definedName name="cb_sChart1A65F73E_opts" hidden="1">"1, 5, 1, False, 2, True, False, , 0, False, False, 1, 1"</definedName>
    <definedName name="cb_sChart1D887D06_opts" hidden="1">"1, 9, 1, False, 2, False, False, , 0, False, True, 1, 1"</definedName>
    <definedName name="cb_sChart1D8899D3_opts" hidden="1">"1, 9, 1, False, 2, False, False, , 0, False, False, 1, 1"</definedName>
    <definedName name="cb_sChart1D8A1554_opts" hidden="1">"1, 5, 1, False, 2, True, False, , 0, False, False, 1, 1"</definedName>
    <definedName name="cb_sChart1D8A1D31_opts" hidden="1">"1, 5, 1, False, 2, True, False, , 0, False, False, 1, 1"</definedName>
    <definedName name="cb_sChart1D8A27DD_opts" hidden="1">"1, 5, 1, False, 2, True, False, , 0, False, False, 1, 1"</definedName>
    <definedName name="cb_sChart1D8A2B13_opts" hidden="1">"1, 5, 1, False, 2, True, False, , 0, False, False, 1, 1"</definedName>
    <definedName name="cb_sChart2D58AD7_opts" hidden="1">"1, 8, 1, False, 2, False, False, , 0, False, True, 1, 1"</definedName>
    <definedName name="cb_sChart41E9A35_opts" hidden="1">"1, 9, 1, False, 2, False, False, , 0, False, True, 1, 1"</definedName>
    <definedName name="cb_sChart6889462_opts" hidden="1">"1, 1, 1, False, 2, True, False, , 0, False, False, 1, 1"</definedName>
    <definedName name="cb_sChart697439B_opts" hidden="1">"1, 9, 1, False, 2, False, True, , 1, False, True, 1, 1"</definedName>
    <definedName name="cb_sChart697822D_opts" hidden="1">"1, 1, 1, False, 2, True, False, , 0, False, False, 1, 1"</definedName>
    <definedName name="cb_sChart69782DB_opts" hidden="1">"1, 3, 1, False, 2, True, False, , 0, False, True, 1, 1"</definedName>
    <definedName name="cb_sChart773176C_opts" hidden="1">"1, 9, 1, False, 2, False, True, , 1, False, True, 1, 1"</definedName>
    <definedName name="cb_sChart8694853_opts" hidden="1">"1, 1, 1, False, 2, True, False, , 0, False, False, 1, 2"</definedName>
    <definedName name="cb_sChart8696FB4_opts" hidden="1">"1, 1, 1, False, 2, True, False, , 0, False, False, 1, 1"</definedName>
    <definedName name="cb_sChart86970D5_opts" hidden="1">"1, 1, 1, False, 2, True, False, , 0, False, False, 1, 2"</definedName>
    <definedName name="cb_sChart8726105_opts" hidden="1">"1, 9, 1, False, 2, False, True, , 0, False, True, 1, 1"</definedName>
    <definedName name="cb_sChart8726A0F_opts" hidden="1">"1, 9, 1, False, 2, False, True, , 0, False, True, 1, 1"</definedName>
    <definedName name="cb_sChart8930940_opts" hidden="1">"1, 1, 1, False, 2, True, False, , 0, False, False, 1, 1"</definedName>
    <definedName name="cb_sChart89309E2_opts" hidden="1">"1, 1, 1, False, 2, True, False, , 0, False, False, 1, 2"</definedName>
    <definedName name="cb_sChart8943F21_opts" hidden="1">"1, 9, 1, False, 2, False, False, , 0, False, True, 1, 1"</definedName>
    <definedName name="cb_sChart8A2E572_opts" hidden="1">"2, 1, 2, True, 2, False, False, , 0, False, True, 1, 1"</definedName>
    <definedName name="cb_sChart8A2E8ED_opts" hidden="1">"2, 1, 2, True, 2, False, False, , 0, False, True, 1, 1"</definedName>
    <definedName name="cb_sChart8A2EAEB_opts" hidden="1">"2, 1, 2, True, 2, False, False, , 0, False, True, 1, 1"</definedName>
    <definedName name="cb_sChart8A30D0D_opts" hidden="1">"2, 1, 2, True, 2, False, False, , 0, False, True, 1, 1"</definedName>
    <definedName name="cb_sChart8A30F16_opts" hidden="1">"2, 1, 2, True, 2, False, False, , 0, False, True, 1, 1"</definedName>
    <definedName name="cb_sChart8C795F1_opts" hidden="1">"2, 1, 2, True, 2, False, False, , 0, False, True, 1, 1"</definedName>
    <definedName name="cb_sChart8C87817_opts" hidden="1">"2, 1, 2, True, 2, False, False, , 0, False, True, 1, 1"</definedName>
    <definedName name="cb_sChart8C87AFC_opts" hidden="1">"2, 1, 2, True, 2, False, False, , 0, False, True, 1, 1"</definedName>
    <definedName name="cb_sChart8C88FA5_opts" hidden="1">"2, 1, 2, True, 2, False, False, , 0, False, True, 1, 1"</definedName>
    <definedName name="cb_sChart92016E_opts" hidden="1">"1, 9, 1, False, 2, False, False, , 0, False, True, 1, 1"</definedName>
    <definedName name="cb_sChart9FE8159_opts" hidden="1">"1, 9, 1, False, 2, False, True, , 1, False, True, 1, 1"</definedName>
    <definedName name="cb_sChart9FE9B41_opts" hidden="1">"1, 9, 1, False, 2, False, True, , 1, False, True, 1, 1"</definedName>
    <definedName name="cb_sChartA30EDEC_opts" hidden="1">"2, 1, 2, True, 2, False, False, , 0, False, True, 1, 1"</definedName>
    <definedName name="cb_sChartC29620C_opts" hidden="1">"1, 1, 1, False, 2, True, False, , 0, False, False, 1, 2"</definedName>
    <definedName name="cb_sChartC296613_opts" hidden="1">"1, 1, 1, False, 2, True, False, , 0, False, False, 1, 2"</definedName>
    <definedName name="cb_sChartC297AA5_opts" hidden="1">"1, 1, 1, False, 2, True, False, , 0, False, False, 1, 2"</definedName>
    <definedName name="cb_sChartC29B34B_opts" hidden="1">"1, 9, 1, False, 2, False, False, , 0, False, True, 1, 1"</definedName>
    <definedName name="cb_sChartC29EA8B_opts" hidden="1">"1, 1, 1, False, 2, True, False, , 0, False, False, 1, 2"</definedName>
    <definedName name="cb_sChartC29FC95_opts" hidden="1">"1, 1, 1, False, 2, True, False, , 0, False, False, 1, 2"</definedName>
    <definedName name="cb_sChartC2AD8F1_opts" hidden="1">"2, 9, 1, True, 2, False, False, , 0, False, False, 1, 1"</definedName>
    <definedName name="cb_sChartC2ADA06_opts" hidden="1">"1, 9, 1, False, 2, False, False, , 0, False, False, 1, 1"</definedName>
    <definedName name="cb_sChartC2AF61A_opts" hidden="1">"2, 1, 3, True, 2, False, False, , 0, False, True, 1, 1"</definedName>
    <definedName name="cb_sChartC2B0EA7_opts" hidden="1">"2, 1, 3, True, 2, False, False, , 0, False, True, 1, 1"</definedName>
    <definedName name="cb_sChartC2B1414_opts" hidden="1">"2, 1, 3, True, 2, False, False, , 0, False, True, 1, 1"</definedName>
    <definedName name="cb_sChartC2B1DD8_opts" hidden="1">"2, 1, 3, True, 2, False, False, , 0, False, True, 1, 1"</definedName>
    <definedName name="cb_sChartC300DC4_opts" hidden="1">"1, 9, 1, False, 2, False, False, , 0, False, True, 1, 1"</definedName>
    <definedName name="cb_sChartDAF58B0_opts" hidden="1">"1, 9, 1, False, 2, False, False, , 0, False, True, 1, 1"</definedName>
    <definedName name="cb_sChartDAF7A8D_opts" hidden="1">"1, 9, 1, False, 2, False, False, , 0, False, True, 1, 1"</definedName>
    <definedName name="cb_sChartE2218BA_opts" hidden="1">"1, 4, 1, False, 2, False, False, , 0, False, True, 1, 1"</definedName>
    <definedName name="cb_sChartE221ADA_opts" hidden="1">"1, 5, 1, False, 2, False, False, , 0, False, False, 1, 1"</definedName>
    <definedName name="cb_sChartE55C230_opts" hidden="1">"1, 9, 1, False, 2, False, False, , 0, False, True, 1, 1"</definedName>
    <definedName name="cb_sChartE57A4FF_opts" hidden="1">"1, 1, 1, False, 2, True, False, , 0, False, False, 1, 1"</definedName>
    <definedName name="cb_sChartE57C3B2_opts" hidden="1">"1, 1, 1, False, 2, True, False, , 0, False, False, 1, 1"</definedName>
    <definedName name="cb_sChartE57D120_opts" hidden="1">"1, 1, 1, False, 2, True, False, , 0, False, False, 1, 1"</definedName>
    <definedName name="cb_sChartE5805B4_opts" hidden="1">"1, 1, 1, False, 2, True, False, , 0, False, False, 1, 1"</definedName>
    <definedName name="cb_sChartE58A23A_opts" hidden="1">"1, 1, 1, False, 2, True, False, , 0, False, False, 1, 1"</definedName>
    <definedName name="cb_sChartEB554A6_opts" hidden="1">"1, 1, 1, False, 2, True, False, , 0, False, False, 1, 1"</definedName>
    <definedName name="cb_sChartEB5725A_opts" hidden="1">"1, 1, 1, False, 2, True, False, , 0, False, False, 1, 1"</definedName>
    <definedName name="cb_sChartEC05450_opts" hidden="1">"1, 1, 1, False, 2, True, False, , 0, False, False, 1, 1"</definedName>
    <definedName name="cb_sChartEC05DCF_opts" hidden="1">"1, 1, 1, False, 2, True, False, , 0, False, False, 1, 1"</definedName>
    <definedName name="cb_sChartEC3AF3D_opts" hidden="1">"1, 1, 1, False, 2, True, False, , 0, False, False, 1, 1"</definedName>
    <definedName name="cb_Size_by_height_and_widthChart_16_opts" hidden="1">"1, 4, 1, False, 2, False, False, , 0, False, False, 1, 1"</definedName>
    <definedName name="cb_Size_by_height_and_widthChart_7_opts" hidden="1">"1, 4, 1, False, 2, False, False, , 0, False, False, 1, 1"</definedName>
    <definedName name="cb_Size_by_height_and_widthChart_8_opts" hidden="1">"1, 4, 1, False, 2, False, False, , 0, False, False, 1, 1"</definedName>
    <definedName name="cc" hidden="1">{#N/A,#N/A,FALSE,"LoanAssumptions"}</definedName>
    <definedName name="cc_schedule">#REF!</definedName>
    <definedName name="ccc" hidden="1">{#N/A,#N/A,FALSE,"LoanAssumptions"}</definedName>
    <definedName name="CCCCCCCCC" hidden="1">#REF!</definedName>
    <definedName name="CCCCCCCCCCC" hidden="1">#REF!</definedName>
    <definedName name="cclos">#REF!</definedName>
    <definedName name="ccs" hidden="1">{#N/A,#N/A,FALSE,"Chart 2 by Prop Type"}</definedName>
    <definedName name="cd" hidden="1">{"annual",#N/A,FALSE,"Pro Forma";#N/A,#N/A,FALSE,"Golf Operations"}</definedName>
    <definedName name="cdlj">#REF!</definedName>
    <definedName name="CF_Amortization">#REF!</definedName>
    <definedName name="CF_AP">#REF!</definedName>
    <definedName name="CF_AR">#REF!</definedName>
    <definedName name="CF_Beg_Cash">#REF!</definedName>
    <definedName name="CF_begcash">#REF!</definedName>
    <definedName name="CF_capex">#REF!</definedName>
    <definedName name="CF_commondiv">#REF!</definedName>
    <definedName name="CF_convertdebt">#REF!</definedName>
    <definedName name="CF_Convertible_Debt">#REF!</definedName>
    <definedName name="CF_Convertible_Preferred">#REF!</definedName>
    <definedName name="CF_Deferred_Taxes">#REF!</definedName>
    <definedName name="CF_deferredtaxes">#REF!</definedName>
    <definedName name="CF_deprec">#REF!</definedName>
    <definedName name="CF_Depreciation">#REF!</definedName>
    <definedName name="CF_Dividends">#REF!</definedName>
    <definedName name="CF_Dividends_Subsidiary">#REF!</definedName>
    <definedName name="CF_equity">#REF!</definedName>
    <definedName name="CF_Equity_Earnings">#REF!</definedName>
    <definedName name="CF_gwamort">#REF!</definedName>
    <definedName name="CF_intangiblesamort">#REF!</definedName>
    <definedName name="CF_Inventory">#REF!</definedName>
    <definedName name="CF_Investments">#REF!</definedName>
    <definedName name="CF_minority">#REF!</definedName>
    <definedName name="CF_Minority_NI">#REF!</definedName>
    <definedName name="CF_netinc">#REF!</definedName>
    <definedName name="CF_NI">#REF!</definedName>
    <definedName name="CF_Non_Cash_Charges">#REF!</definedName>
    <definedName name="CF_Non_Cash_Interest">#REF!</definedName>
    <definedName name="CF_Non_Cash_Straight_PDividend">#REF!</definedName>
    <definedName name="CF_NWC">#REF!</definedName>
    <definedName name="CF_Other">#REF!</definedName>
    <definedName name="CF_Other_CA">#REF!</definedName>
    <definedName name="CF_Other_CL">#REF!</definedName>
    <definedName name="CF_othernonoper">#REF!</definedName>
    <definedName name="CF_otheroper">#REF!</definedName>
    <definedName name="CF_revolver">#REF!</definedName>
    <definedName name="CF_Straight_Debt">#REF!</definedName>
    <definedName name="CF_Straight_Preferred">#REF!</definedName>
    <definedName name="CF_straightdebt">#REF!</definedName>
    <definedName name="cfcfc" hidden="1">#REF!</definedName>
    <definedName name="cfg" hidden="1">{#N/A,#N/A,FALSE,"CCC Variance";#N/A,#N/A,FALSE,"CCC Notes"}</definedName>
    <definedName name="cfgcfg" hidden="1">{#N/A,#N/A,FALSE,"CCC Variance";#N/A,#N/A,FALSE,"CCC Notes"}</definedName>
    <definedName name="cfgjcfgh" hidden="1">{#N/A,#N/A,FALSE,"Common Area Accrual";#N/A,#N/A,FALSE,"Unit One LaSalle";#N/A,#N/A,FALSE,"Unit One CW";#N/A,#N/A,FALSE,"Unit One LaSalle + C &amp; W";#N/A,#N/A,FALSE,"Consolidated Accrual"}</definedName>
    <definedName name="Change">#REF!,#REF!</definedName>
    <definedName name="ChangeInAccountsPayable">#REF!</definedName>
    <definedName name="ChangeInAccountsReceivable">#REF!</definedName>
    <definedName name="ChangeInCommonEquity">#REF!</definedName>
    <definedName name="ChangeInConvertiblePreferredStock">#REF!</definedName>
    <definedName name="ChangeInDeferredCompensation">#REF!</definedName>
    <definedName name="ChangeInInventories">#REF!</definedName>
    <definedName name="ChangeInNetWorkingCapital">#REF!</definedName>
    <definedName name="ChangeInOtherCurrentAssets">#REF!</definedName>
    <definedName name="ChangeInOtherCurrentLiabilities">#REF!</definedName>
    <definedName name="ChangeInStraightPreferredStock">#REF!</definedName>
    <definedName name="chart">#REF!</definedName>
    <definedName name="charts_tnx_and_spread">#REF!</definedName>
    <definedName name="Chasecase">#REF!</definedName>
    <definedName name="check">#REF!</definedName>
    <definedName name="check2" hidden="1">{#N/A,#N/A,FALSE,"Cashflow Analysis";#N/A,#N/A,FALSE,"Sensitivity Analysis";#N/A,#N/A,FALSE,"PV";#N/A,#N/A,FALSE,"Pro Forma"}</definedName>
    <definedName name="chiho" localSheetId="2" hidden="1">{"'下期集計（10.27迄・速報値）'!$Q$16"}</definedName>
    <definedName name="chiho" hidden="1">{"'下期集計（10.27迄・速報値）'!$Q$16"}</definedName>
    <definedName name="Chubb1">#REF!</definedName>
    <definedName name="CI">"HEAD"</definedName>
    <definedName name="CIQWBGuid" hidden="1">"SAA Financial Model.xlsx"</definedName>
    <definedName name="circ">#REF!</definedName>
    <definedName name="City">#REF!</definedName>
    <definedName name="cl">#REF!</definedName>
    <definedName name="claim">#REF!</definedName>
    <definedName name="claims">#REF!</definedName>
    <definedName name="ClassA">#REF!</definedName>
    <definedName name="ClassB">#REF!</definedName>
    <definedName name="CLOSE">#REF!</definedName>
    <definedName name="closing">#REF!</definedName>
    <definedName name="closing_per_month">#REF!</definedName>
    <definedName name="Closing_Summary">#REF!</definedName>
    <definedName name="closingcosts">#REF!</definedName>
    <definedName name="closingpd_startmo">#REF!</definedName>
    <definedName name="clospd_durat">#REF!</definedName>
    <definedName name="CLOSURE">#REF!</definedName>
    <definedName name="clsopd_endmo">#REF!</definedName>
    <definedName name="cnstr_sls_comm">#REF!</definedName>
    <definedName name="COA">#REF!</definedName>
    <definedName name="code">#REF!</definedName>
    <definedName name="code_conditions">#REF!</definedName>
    <definedName name="columns">#REF!</definedName>
    <definedName name="Combine">#REF!</definedName>
    <definedName name="Combined_Gift_Shop">#REF!</definedName>
    <definedName name="Combined_Kitchen">#REF!</definedName>
    <definedName name="Combined_Laundry">#REF!</definedName>
    <definedName name="Combined_Other_Allocated">#REF!</definedName>
    <definedName name="Combined_Restaurant">#REF!</definedName>
    <definedName name="Combined_Specialty_Restaurant">#REF!</definedName>
    <definedName name="CombineUK">#REF!</definedName>
    <definedName name="combining_range_1">#REF!</definedName>
    <definedName name="comm_dur_constr">#REF!</definedName>
    <definedName name="commencement_date">#REF!</definedName>
    <definedName name="commercial_net_sf">#REF!</definedName>
    <definedName name="commercial_rent_psf">#REF!</definedName>
    <definedName name="Commitment_Page_Items_Applicable_only_on_Forward_Transactions">#REF!</definedName>
    <definedName name="COMMLRNT">#REF!</definedName>
    <definedName name="commondiv">#REF!</definedName>
    <definedName name="CommonDividendsPaid">#REF!</definedName>
    <definedName name="commpsf">#REF!</definedName>
    <definedName name="COMMRENT">#REF!</definedName>
    <definedName name="COMP_CUR_YR">#REF!</definedName>
    <definedName name="Comp_Inputs_1">#REF!</definedName>
    <definedName name="Comp_Inputs_2">#REF!</definedName>
    <definedName name="COMP_PRN_BOTH">#REF!</definedName>
    <definedName name="COMP_PROFILE">#REF!</definedName>
    <definedName name="Comp_Table">#REF!</definedName>
    <definedName name="COMP1">#REF!</definedName>
    <definedName name="COMP2">#REF!</definedName>
    <definedName name="Company">#REF!</definedName>
    <definedName name="Company_name">"SLOV - KAUFRING"</definedName>
    <definedName name="CompanyHQ">#REF!</definedName>
    <definedName name="CompanyName">#REF!</definedName>
    <definedName name="CompanyOH" hidden="1">#REF!</definedName>
    <definedName name="ComparableAnalysis">#REF!</definedName>
    <definedName name="COMPARE">#REF!</definedName>
    <definedName name="CompAssess">#REF!</definedName>
    <definedName name="CompletionDate">#REF!</definedName>
    <definedName name="COMPLIST">#REF!</definedName>
    <definedName name="CompPAR">#REF!</definedName>
    <definedName name="CompPercent">#REF!</definedName>
    <definedName name="CompPOR">#REF!</definedName>
    <definedName name="CompSet">#REF!</definedName>
    <definedName name="COMPTAB1">#REF!</definedName>
    <definedName name="COMPUTER">#REF!</definedName>
    <definedName name="CON_MONTH">#REF!</definedName>
    <definedName name="CONCOST">#REF!</definedName>
    <definedName name="condo">#REF!</definedName>
    <definedName name="CondoAssump">#REF!</definedName>
    <definedName name="CondoCashFlow">#REF!</definedName>
    <definedName name="condoCF">#REF!</definedName>
    <definedName name="condocharge">#REF!</definedName>
    <definedName name="Condodistribution">#REF!</definedName>
    <definedName name="CondoFlowCalc">#REF!</definedName>
    <definedName name="CondoG">#REF!</definedName>
    <definedName name="conint">#REF!</definedName>
    <definedName name="CoNm">#REF!</definedName>
    <definedName name="Consensus_NAV">#REF!</definedName>
    <definedName name="Consideration">#REF!</definedName>
    <definedName name="consolidation">#REF!</definedName>
    <definedName name="CONST_BUDGET">#REF!</definedName>
    <definedName name="const_int_tax_exempt">#REF!</definedName>
    <definedName name="const_int_taxable">#REF!</definedName>
    <definedName name="const_lender_costs">#REF!</definedName>
    <definedName name="const_loan_draw">#REF!</definedName>
    <definedName name="const_months">#REF!</definedName>
    <definedName name="CONST_PERIOD">#REF!</definedName>
    <definedName name="CONST_RATE_1">#REF!</definedName>
    <definedName name="CONST_RATE_2">#REF!</definedName>
    <definedName name="CONST_RATE_3">#REF!</definedName>
    <definedName name="CONST_RATE_4">#REF!</definedName>
    <definedName name="CONST_RATE_5">#REF!</definedName>
    <definedName name="Constant">#REF!</definedName>
    <definedName name="CONSTINTEREST">#REF!</definedName>
    <definedName name="CONSTMO">#REF!</definedName>
    <definedName name="constr_duration">#REF!</definedName>
    <definedName name="constr_endmo">#REF!</definedName>
    <definedName name="constr_loan">#REF!</definedName>
    <definedName name="constr_loan_amt">#REF!</definedName>
    <definedName name="constr_loan_facil">#REF!</definedName>
    <definedName name="constr_months">#REF!</definedName>
    <definedName name="constr_startmo">#REF!</definedName>
    <definedName name="construction" hidden="1">{"Construction Costs",#N/A,FALSE,"Total Costs"}</definedName>
    <definedName name="construction.loan">#REF!</definedName>
    <definedName name="construction_completion_mo">#REF!</definedName>
    <definedName name="Construction_months">#REF!</definedName>
    <definedName name="construction_mos">#REF!</definedName>
    <definedName name="Construction_Start">#REF!</definedName>
    <definedName name="Construction_Term">#REF!</definedName>
    <definedName name="ConstructionBudget">#REF!</definedName>
    <definedName name="ConstructionFee">#REF!</definedName>
    <definedName name="ConstructionMonths">#REF!</definedName>
    <definedName name="CONSULTANT">#REF!</definedName>
    <definedName name="CONTENTS">#REF!</definedName>
    <definedName name="ContG">#REF!</definedName>
    <definedName name="contin">#REF!</definedName>
    <definedName name="ContractEndDate">#REF!</definedName>
    <definedName name="Contracts">#REF!</definedName>
    <definedName name="ContractTerm">#REF!</definedName>
    <definedName name="ContructionEndMonth">#REF!</definedName>
    <definedName name="conv_raterise">#REF!</definedName>
    <definedName name="convdebtrate">#REF!</definedName>
    <definedName name="convdebtshares">#REF!</definedName>
    <definedName name="ConversionToggle">#REF!</definedName>
    <definedName name="Convertible_Debt_Converted">#REF!</definedName>
    <definedName name="Convertible_Preferred_Converted">#REF!</definedName>
    <definedName name="ConvertibleDebt">#REF!</definedName>
    <definedName name="ConvertibleDebt1">#REF!</definedName>
    <definedName name="ConvertibleDebt2">#REF!</definedName>
    <definedName name="ConvertibleDebt3">#REF!</definedName>
    <definedName name="ConvertibleDebt4">#REF!</definedName>
    <definedName name="ConvertibleDebtShares1">#REF!</definedName>
    <definedName name="ConvertibleDebtShares2">#REF!</definedName>
    <definedName name="ConvertibleDebtShares3">#REF!</definedName>
    <definedName name="ConvertibleDebtShares4">#REF!</definedName>
    <definedName name="ConvertiblePreferredBookValue">#REF!</definedName>
    <definedName name="ConvertiblePreferredBookValue1">#REF!</definedName>
    <definedName name="ConvertiblePreferredBookValue2">#REF!</definedName>
    <definedName name="ConvertiblePreferredLiquidValue">#REF!</definedName>
    <definedName name="ConvertiblePreferredLiquidValue1">#REF!</definedName>
    <definedName name="ConvertiblePreferredLiquidValue2">#REF!</definedName>
    <definedName name="ConvertiblePreferredShares1">#REF!</definedName>
    <definedName name="ConvertiblePreferredShares2">#REF!</definedName>
    <definedName name="convprefrate">#REF!</definedName>
    <definedName name="convprefshares">#REF!</definedName>
    <definedName name="convpricedebt">#REF!</definedName>
    <definedName name="convpricepref">#REF!</definedName>
    <definedName name="Copy" hidden="1">{"AnnualRentRoll",#N/A,FALSE,"RentRoll"}</definedName>
    <definedName name="COPY_HIDE">#REF!</definedName>
    <definedName name="Copy_Vacancy2">#REF!</definedName>
    <definedName name="copy2" hidden="1">{"new",#N/A,FALSE,"D";"PROFORMA",#N/A,FALSE,"A";"partial 1",#N/A,FALSE,"B";"partial 2",#N/A,FALSE,"B";"partial 3",#N/A,FALSE,"B";"SMALL CF 1",#N/A,FALSE,"C"}</definedName>
    <definedName name="copyall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copymondayjv" hidden="1">{"View1",#N/A,FALSE,"Sheet1";"View2",#N/A,FALSE,"Sheet1"}</definedName>
    <definedName name="CORPDEBT">#REF!</definedName>
    <definedName name="Corporate_tax_rate">0.4</definedName>
    <definedName name="CORPORATERENT">#REF!</definedName>
    <definedName name="CorpTax">#REF!</definedName>
    <definedName name="cost_421_A_PSF">#REF!</definedName>
    <definedName name="Cost_Code">#REF!</definedName>
    <definedName name="CostDetail" hidden="1">{"CF",#N/A,FALSE,"Cash Flow";"RET",#N/A,FALSE,"Returns";"NPV",#N/A,FALSE,"Values";"ASMPT",#N/A,FALSE,"Assumptions"}</definedName>
    <definedName name="CostOfGoodsSold">#REF!</definedName>
    <definedName name="CostProfile">#REF!</definedName>
    <definedName name="Cottage" hidden="1">{"cot1",#N/A,FALSE,"Cottages";"cot2",#N/A,FALSE,"Cottages";"cot3",#N/A,FALSE,"Cottages"}</definedName>
    <definedName name="Counter1">#REF!</definedName>
    <definedName name="Counter2">#REF!</definedName>
    <definedName name="Country">#REF!</definedName>
    <definedName name="coupon">#REF!</definedName>
    <definedName name="Cover_Page">#REF!</definedName>
    <definedName name="CPI">#REF!</definedName>
    <definedName name="CPIDATA">#REF!</definedName>
    <definedName name="cpn">#REF!</definedName>
    <definedName name="CRANGE">#REF!</definedName>
    <definedName name="crap" hidden="1">{"CF",#N/A,FALSE,"Cash Flow";"RET",#N/A,FALSE,"Returns";"NPV",#N/A,FALSE,"Values";"ASMPT",#N/A,FALSE,"Assumptions"}</definedName>
    <definedName name="CREDIT_LOSS">#REF!</definedName>
    <definedName name="_xlnm.Criteria">#REF!</definedName>
    <definedName name="Criteria1">#REF!</definedName>
    <definedName name="cum_days1">#REF!</definedName>
    <definedName name="cum_days10">#REF!</definedName>
    <definedName name="cum_days11">#REF!</definedName>
    <definedName name="cum_days2">#REF!</definedName>
    <definedName name="cum_days3">#REF!</definedName>
    <definedName name="cum_days4">#REF!</definedName>
    <definedName name="cum_days5">#REF!</definedName>
    <definedName name="cum_days6">#REF!</definedName>
    <definedName name="cum_days7">#REF!</definedName>
    <definedName name="cum_days8">#REF!</definedName>
    <definedName name="cum_days9">#REF!</definedName>
    <definedName name="CUR_RENTS">#REF!</definedName>
    <definedName name="CUR_VAC">#REF!</definedName>
    <definedName name="Currency">#REF!</definedName>
    <definedName name="currencysymbol">#REF!</definedName>
    <definedName name="Current">#REF!</definedName>
    <definedName name="current_re_taxes">#REF!</definedName>
    <definedName name="CurrentSO">#REF!</definedName>
    <definedName name="currentyear">#REF!</definedName>
    <definedName name="CustLB1toInceptionIndex">#REF!</definedName>
    <definedName name="CustomTaxRate">#REF!</definedName>
    <definedName name="CVALUE">#REF!</definedName>
    <definedName name="CVS" hidden="1">#REF!</definedName>
    <definedName name="Cwvu.GREY_ALL." hidden="1">#REF!</definedName>
    <definedName name="cxgxgfgfs" hidden="1">{#N/A,#N/A,FALSE,"Cashflow Analysis";#N/A,#N/A,FALSE,"Sensitivity Analysis";#N/A,#N/A,FALSE,"PV";#N/A,#N/A,FALSE,"Pro Forma"}</definedName>
    <definedName name="cxgxgfgfs.2" hidden="1">{#N/A,#N/A,FALSE,"Cashflow Analysis";#N/A,#N/A,FALSE,"Sensitivity Analysis";#N/A,#N/A,FALSE,"PV";#N/A,#N/A,FALSE,"Pro Forma"}</definedName>
    <definedName name="CY_Common_Equity">#REF!</definedName>
    <definedName name="CY_Depreciation">#REF!</definedName>
    <definedName name="CY_Intangible_Assets">#REF!</definedName>
    <definedName name="CY_Interest_Expense">#REF!</definedName>
    <definedName name="CY_LT_Debt">#REF!</definedName>
    <definedName name="CY_Market_Value_of_Equity">#REF!</definedName>
    <definedName name="CY_Marketable_Sec">#REF!</definedName>
    <definedName name="CY_Other">#REF!</definedName>
    <definedName name="CY_Selling">#REF!</definedName>
    <definedName name="CY_Tangible_Net_Worth">#REF!</definedName>
    <definedName name="D">#REF!</definedName>
    <definedName name="d26.3">#REF!</definedName>
    <definedName name="DACF" hidden="1">{"mgmt forecast",#N/A,FALSE,"Mgmt Forecast";"dcf table",#N/A,FALSE,"Mgmt Forecast";"sensitivity",#N/A,FALSE,"Mgmt Forecast";"table inputs",#N/A,FALSE,"Mgmt Forecast";"calculations",#N/A,FALSE,"Mgmt Forecast"}</definedName>
    <definedName name="DAFAD" hidden="1">{"cap_structure",#N/A,FALSE,"Graph-Mkt Cap";"price",#N/A,FALSE,"Graph-Price";"ebit",#N/A,FALSE,"Graph-EBITDA";"ebitda",#N/A,FALSE,"Graph-EBITDA"}</definedName>
    <definedName name="DAILY">#REF!</definedName>
    <definedName name="DAILYMAC">#REF!</definedName>
    <definedName name="DAILYRATE">#REF!</definedName>
    <definedName name="DAILYREV">#REF!</definedName>
    <definedName name="DAILYROOMS">#REF!</definedName>
    <definedName name="danny" hidden="1">#REF!</definedName>
    <definedName name="dasf" hidden="1">#REF!</definedName>
    <definedName name="dat" hidden="1">{"data",#N/A,FALSE,"INPUT"}</definedName>
    <definedName name="data" hidden="1">{"data",#N/A,FALSE,"INPUT"}</definedName>
    <definedName name="DATA_01" hidden="1">#REF!</definedName>
    <definedName name="data1" hidden="1">{"data",#N/A,FALSE,"INPUT"}</definedName>
    <definedName name="Data10">#REF!</definedName>
    <definedName name="Data11">#REF!</definedName>
    <definedName name="Data12">#REF!</definedName>
    <definedName name="Data13">#REF!</definedName>
    <definedName name="Data14">#REF!</definedName>
    <definedName name="Data15">#REF!</definedName>
    <definedName name="Data16">#REF!</definedName>
    <definedName name="Data17">#REF!</definedName>
    <definedName name="Data18">#REF!</definedName>
    <definedName name="Data19">#REF!</definedName>
    <definedName name="data2" hidden="1">{"data",#N/A,FALSE,"INPUT"}</definedName>
    <definedName name="Data20">#REF!</definedName>
    <definedName name="data3" hidden="1">{"data",#N/A,FALSE,"INPUT"}</definedName>
    <definedName name="Data4">#REF!</definedName>
    <definedName name="Data5">#REF!</definedName>
    <definedName name="Data6">#REF!</definedName>
    <definedName name="Data7">#REF!</definedName>
    <definedName name="Data8">#REF!</definedName>
    <definedName name="Data9">#REF!</definedName>
    <definedName name="_xlnm.Database">#REF!</definedName>
    <definedName name="Database_For_Pivot_Table">#REF!</definedName>
    <definedName name="Database_For_Pivot_Table_Reset">#N/A</definedName>
    <definedName name="Database_MI">#REF!</definedName>
    <definedName name="database1">#REF!</definedName>
    <definedName name="DATAENTRY">#REF!</definedName>
    <definedName name="dataerror" hidden="1">{"data",#N/A,FALSE,"INPUT"}</definedName>
    <definedName name="DataLabel1">#REF!</definedName>
    <definedName name="DataLabel10">#REF!</definedName>
    <definedName name="DataLabel11">#REF!</definedName>
    <definedName name="DataLabel12">#REF!</definedName>
    <definedName name="DataLabel13">#REF!</definedName>
    <definedName name="DataLabel14">#REF!</definedName>
    <definedName name="DataLabel15">#REF!</definedName>
    <definedName name="DataLabel16">#REF!</definedName>
    <definedName name="DataLabel17">#REF!</definedName>
    <definedName name="DataLabel18">#REF!</definedName>
    <definedName name="DataLabel19">#REF!</definedName>
    <definedName name="DataLabel2">#REF!</definedName>
    <definedName name="DataLabel20">#REF!</definedName>
    <definedName name="DataLabel3">#REF!</definedName>
    <definedName name="DataLabel4">#REF!</definedName>
    <definedName name="DataLabel5">#REF!</definedName>
    <definedName name="DataLabel6">#REF!</definedName>
    <definedName name="DataLabel7">#REF!</definedName>
    <definedName name="DataLabel8">#REF!</definedName>
    <definedName name="DataLabel9">#REF!</definedName>
    <definedName name="DATARANGE">#REF!</definedName>
    <definedName name="DataThrough">#REF!</definedName>
    <definedName name="Date">#REF!</definedName>
    <definedName name="date_construction_ends">#REF!</definedName>
    <definedName name="Date_Paid">#REF!</definedName>
    <definedName name="date_prelease_begins">#REF!</definedName>
    <definedName name="DateHeader">#REF!</definedName>
    <definedName name="dave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Day_of_Month_Payment_Made">#REF!</definedName>
    <definedName name="DAYAN" hidden="1">{"LIBOR",#N/A,TRUE,"Model";"Caps",#N/A,TRUE,"Model";"Assets",#N/A,TRUE,"Model";"Liabilities",#N/A,TRUE,"Model";"Tests",#N/A,TRUE,"Model";"Results",#N/A,TRUE,"Model"}</definedName>
    <definedName name="Days">#REF!</definedName>
    <definedName name="Days_in_Year">#REF!</definedName>
    <definedName name="days1">#REF!</definedName>
    <definedName name="days10">#REF!</definedName>
    <definedName name="days11">#REF!</definedName>
    <definedName name="days2">#REF!</definedName>
    <definedName name="days3">#REF!</definedName>
    <definedName name="days4">#REF!</definedName>
    <definedName name="days5">#REF!</definedName>
    <definedName name="days6">#REF!</definedName>
    <definedName name="days7">#REF!</definedName>
    <definedName name="days8">#REF!</definedName>
    <definedName name="days9">#REF!</definedName>
    <definedName name="DaysBaseYear">#REF!</definedName>
    <definedName name="DaysInventories">#REF!</definedName>
    <definedName name="DaysPayables">#REF!</definedName>
    <definedName name="DaysProjYr10SP">#REF!</definedName>
    <definedName name="DaysProjYr1SP">#REF!</definedName>
    <definedName name="DaysProjYr2SP">#REF!</definedName>
    <definedName name="DaysProjYr3SP">#REF!</definedName>
    <definedName name="DaysProjYr4SP">#REF!</definedName>
    <definedName name="DaysProjYr5SP">#REF!</definedName>
    <definedName name="DaysProjYr6SP">#REF!</definedName>
    <definedName name="DaysProjYr7SP">#REF!</definedName>
    <definedName name="DaysProjYr8SP">#REF!</definedName>
    <definedName name="DaysReceivables">#REF!</definedName>
    <definedName name="DB">#REF!</definedName>
    <definedName name="DCF">#REF!</definedName>
    <definedName name="dcf_year">#REF!</definedName>
    <definedName name="dcfyear">#REF!</definedName>
    <definedName name="DCR">#REF!</definedName>
    <definedName name="DCREDIT">#REF!</definedName>
    <definedName name="dd" localSheetId="2" hidden="1">{#N/A,#N/A,FALSE,"P&amp;L";#N/A,#N/A,FALSE,"Var_Fixed_cost"}</definedName>
    <definedName name="dd" hidden="1">{#N/A,#N/A,FALSE,"P&amp;L";#N/A,#N/A,FALSE,"Var_Fixed_cost"}</definedName>
    <definedName name="ddd" hidden="1">{"MonthlyRentRoll",#N/A,FALSE,"RentRoll"}</definedName>
    <definedName name="dddddd" hidden="1">{#N/A,#N/A,FALSE,"CAPREIT"}</definedName>
    <definedName name="ddddddd" hidden="1">{#N/A,#N/A,FALSE,"CAPREIT"}</definedName>
    <definedName name="dddddddddddddddddddddddddddd" hidden="1">{#N/A,#N/A,FALSE,"A";#N/A,#N/A,FALSE,"C"}</definedName>
    <definedName name="DEAL">#REF!</definedName>
    <definedName name="Deal_Letter">#REF!</definedName>
    <definedName name="DealUnits" hidden="1">#REF!</definedName>
    <definedName name="debt">#REF!</definedName>
    <definedName name="Debt_Calc1_Amort" hidden="1">#REF!</definedName>
    <definedName name="Debt_Calc1_CapExEnd" hidden="1">#REF!</definedName>
    <definedName name="Debt_Calc1_Draw" hidden="1">#REF!</definedName>
    <definedName name="Debt_Calc1_End" hidden="1">#REF!</definedName>
    <definedName name="Debt_Calc1_InitialBalance" hidden="1">#REF!</definedName>
    <definedName name="Debt_Calc1_IO" hidden="1">#REF!</definedName>
    <definedName name="Debt_Calc1_IsPrepaid" hidden="1">#REF!</definedName>
    <definedName name="Debt_Calc1_IsRefied" hidden="1">#REF!</definedName>
    <definedName name="Debt_Calc1_Maturity" hidden="1">#REF!</definedName>
    <definedName name="Debt_Calc1_Start" hidden="1">#REF!</definedName>
    <definedName name="Debt_Calc1_Term" hidden="1">#REF!</definedName>
    <definedName name="Debt_Calc1_Year" hidden="1">#REF!</definedName>
    <definedName name="Debt_Calc2_Amort" hidden="1">#REF!</definedName>
    <definedName name="Debt_Calc2_CapExEnd" hidden="1">#REF!</definedName>
    <definedName name="Debt_Calc2_Draw" hidden="1">#REF!</definedName>
    <definedName name="Debt_Calc2_End" hidden="1">#REF!</definedName>
    <definedName name="Debt_Calc2_InitialBalance" hidden="1">#REF!</definedName>
    <definedName name="Debt_Calc2_IO" hidden="1">#REF!</definedName>
    <definedName name="Debt_Calc2_IsPrepaid" hidden="1">#REF!</definedName>
    <definedName name="Debt_Calc2_IsRefied" hidden="1">#REF!</definedName>
    <definedName name="Debt_Calc2_Maturity" hidden="1">#REF!</definedName>
    <definedName name="Debt_Calc2_Start" hidden="1">#REF!</definedName>
    <definedName name="Debt_Calc2_Term" hidden="1">#REF!</definedName>
    <definedName name="Debt_Calc2_Year" hidden="1">#REF!</definedName>
    <definedName name="Debt_Calc3_Amort" hidden="1">#REF!</definedName>
    <definedName name="Debt_Calc3_CapExEnd" hidden="1">#REF!</definedName>
    <definedName name="Debt_Calc3_Draw" hidden="1">#REF!</definedName>
    <definedName name="Debt_Calc3_End" hidden="1">#REF!</definedName>
    <definedName name="Debt_Calc3_InitialBalance" hidden="1">#REF!</definedName>
    <definedName name="Debt_Calc3_IO" hidden="1">#REF!</definedName>
    <definedName name="Debt_Calc3_IsPrepaid" hidden="1">#REF!</definedName>
    <definedName name="Debt_Calc3_Maturity" hidden="1">#REF!</definedName>
    <definedName name="Debt_Calc3_Refi1" hidden="1">#REF!</definedName>
    <definedName name="Debt_Calc3_Refi2" hidden="1">#REF!</definedName>
    <definedName name="Debt_Calc3_Start" hidden="1">#REF!</definedName>
    <definedName name="Debt_Calc3_Term" hidden="1">#REF!</definedName>
    <definedName name="Debt_CalcType2" hidden="1">#REF!</definedName>
    <definedName name="Debt_CalcType3" hidden="1">#REF!</definedName>
    <definedName name="Debt_CalcType4" hidden="1">#REF!</definedName>
    <definedName name="Debt_CalcType5" hidden="1">#REF!</definedName>
    <definedName name="Debt_CalcTypes" hidden="1">#REF!</definedName>
    <definedName name="Debt_FundType1" hidden="1">#REF!</definedName>
    <definedName name="Debt_FundType2" hidden="1">#REF!</definedName>
    <definedName name="Debt_FundType3" hidden="1">#REF!</definedName>
    <definedName name="Debt_FundTypes" hidden="1">#REF!</definedName>
    <definedName name="debt_fv">#REF!</definedName>
    <definedName name="DEBT_InitialBalance" hidden="1">#REF!</definedName>
    <definedName name="Debt_InitialBOPBalance" hidden="1">#REF!</definedName>
    <definedName name="DEBT_InitialCapital" hidden="1">#REF!</definedName>
    <definedName name="DEBT_InitialFunding" hidden="1">#REF!</definedName>
    <definedName name="DEBT_InitialInterest" hidden="1">#REF!</definedName>
    <definedName name="Debt_InitialLoanFee" hidden="1">#REF!</definedName>
    <definedName name="DEBT_InitialMaturity" hidden="1">#REF!</definedName>
    <definedName name="Debt_InitialPrepaymentFee" hidden="1">#REF!</definedName>
    <definedName name="DEBT_InitialPrincipal" hidden="1">#REF!</definedName>
    <definedName name="DEBT_InitialRefi" hidden="1">#REF!</definedName>
    <definedName name="Debt_InitialSeniorBalance" hidden="1">#REF!</definedName>
    <definedName name="Debt_InitialSeniorBOPBalance" hidden="1">#REF!</definedName>
    <definedName name="Debt_InitialSeniorInterest" hidden="1">#REF!</definedName>
    <definedName name="Debt_InitialSeniorPrincipal" hidden="1">#REF!</definedName>
    <definedName name="Debt_Label1_Amort" hidden="1">#REF!</definedName>
    <definedName name="Debt_Label1_Amount" hidden="1">#REF!</definedName>
    <definedName name="Debt_Label1_InitialRate" hidden="1">#REF!</definedName>
    <definedName name="Debt_Label1_IO" hidden="1">#REF!</definedName>
    <definedName name="Debt_Label1_Maturity" hidden="1">#REF!</definedName>
    <definedName name="Debt_Label1_Percent" hidden="1">#REF!</definedName>
    <definedName name="Debt_Label1_Term" hidden="1">#REF!</definedName>
    <definedName name="Debt_Label1_Value" hidden="1">#REF!</definedName>
    <definedName name="Debt_Label2_Amort" hidden="1">#REF!</definedName>
    <definedName name="Debt_Label2_Amount" hidden="1">#REF!</definedName>
    <definedName name="Debt_Label2_InitialRate" hidden="1">#REF!</definedName>
    <definedName name="Debt_Label2_IO" hidden="1">#REF!</definedName>
    <definedName name="Debt_Label2_Maturity" hidden="1">#REF!</definedName>
    <definedName name="Debt_Label2_Percent" hidden="1">#REF!</definedName>
    <definedName name="Debt_Label2_Term" hidden="1">#REF!</definedName>
    <definedName name="Debt_Label2_Value" hidden="1">#REF!</definedName>
    <definedName name="Debt_Label3_Amort" hidden="1">#REF!</definedName>
    <definedName name="Debt_Label3_Amount" hidden="1">#REF!</definedName>
    <definedName name="Debt_Label3_InitialRate" hidden="1">#REF!</definedName>
    <definedName name="Debt_Label3_IO" hidden="1">#REF!</definedName>
    <definedName name="Debt_Label3_Maturity" hidden="1">#REF!</definedName>
    <definedName name="Debt_Label3_Percent" hidden="1">#REF!</definedName>
    <definedName name="Debt_Label3_Term" hidden="1">#REF!</definedName>
    <definedName name="Debt_Label3_Value" hidden="1">#REF!</definedName>
    <definedName name="Debt_LoanType1" hidden="1">#REF!</definedName>
    <definedName name="Debt_LoanType2" hidden="1">#REF!</definedName>
    <definedName name="Debt_LoanType4" hidden="1">#REF!</definedName>
    <definedName name="Debt_LoanTypes" hidden="1">#REF!</definedName>
    <definedName name="Debt_Outstanding">#REF!</definedName>
    <definedName name="DEBT_PaymentType1" hidden="1">#REF!</definedName>
    <definedName name="DEBT_PaymentType5" hidden="1">#REF!</definedName>
    <definedName name="DEBT_PaymentTypes" hidden="1">#REF!</definedName>
    <definedName name="Debt_PurchaseRange" hidden="1">0</definedName>
    <definedName name="debt_rate">#REF!</definedName>
    <definedName name="Debt_RefiTypes" hidden="1">#REF!</definedName>
    <definedName name="Debt_serv_reserve">#REF!</definedName>
    <definedName name="Debt_Show1_Amort" hidden="1">#REF!</definedName>
    <definedName name="Debt_Show1_AmortHC" hidden="1">#REF!</definedName>
    <definedName name="Debt_Show1_Amount" hidden="1">#REF!</definedName>
    <definedName name="Debt_Show1_CapEx" hidden="1">#REF!</definedName>
    <definedName name="Debt_Show1_FundDate" hidden="1">#REF!</definedName>
    <definedName name="Debt_Show1_FundMethod" hidden="1">#REF!</definedName>
    <definedName name="Debt_Show1_FundPercent" hidden="1">#REF!</definedName>
    <definedName name="Debt_Show1_FundPoints" hidden="1">#REF!</definedName>
    <definedName name="Debt_Show1_Loan" hidden="1">#REF!</definedName>
    <definedName name="Debt_Show1_Rate" hidden="1">#REF!</definedName>
    <definedName name="Debt_Show1_Spread" hidden="1">#REF!</definedName>
    <definedName name="Debt_Show2_Amort" hidden="1">#REF!</definedName>
    <definedName name="Debt_Show2_AmortHC" hidden="1">#REF!</definedName>
    <definedName name="Debt_Show2_Amount" hidden="1">#REF!</definedName>
    <definedName name="Debt_Show2_CapEx" hidden="1">#REF!</definedName>
    <definedName name="Debt_Show2_FundDate" hidden="1">#REF!</definedName>
    <definedName name="Debt_Show2_FundMethod" hidden="1">#REF!</definedName>
    <definedName name="Debt_Show2_FundPercent" hidden="1">#REF!</definedName>
    <definedName name="Debt_Show2_FundPoints" hidden="1">#REF!</definedName>
    <definedName name="Debt_Show2_Loan" hidden="1">#REF!</definedName>
    <definedName name="Debt_Show2_Rate" hidden="1">#REF!</definedName>
    <definedName name="Debt_Show2_Spread" hidden="1">#REF!</definedName>
    <definedName name="Debt_Show3_Amort" hidden="1">#REF!</definedName>
    <definedName name="Debt_Show3_AmortHC" hidden="1">#REF!</definedName>
    <definedName name="Debt_Show3_Amount" hidden="1">#REF!</definedName>
    <definedName name="Debt_Show3_CapEx" hidden="1">#REF!</definedName>
    <definedName name="Debt_Show3_FundDate" hidden="1">#REF!</definedName>
    <definedName name="Debt_Show3_FundMethod" hidden="1">#REF!</definedName>
    <definedName name="Debt_Show3_FundPercent" hidden="1">#REF!</definedName>
    <definedName name="Debt_Show3_FundPoints" hidden="1">#REF!</definedName>
    <definedName name="Debt_Show3_Loan" hidden="1">#REF!</definedName>
    <definedName name="Debt_Show3_Rate" hidden="1">#REF!</definedName>
    <definedName name="Debt_Show3_Refi" hidden="1">#REF!</definedName>
    <definedName name="Debt_Show3_Refi1" hidden="1">#REF!</definedName>
    <definedName name="Debt_Show3_Refi2" hidden="1">#REF!</definedName>
    <definedName name="Debt_Show3_Spread" hidden="1">#REF!</definedName>
    <definedName name="Debt_SubordinationType2" hidden="1">#REF!</definedName>
    <definedName name="Debt_SubordinationTypes" hidden="1">#REF!</definedName>
    <definedName name="debt_terminal">#REF!</definedName>
    <definedName name="Debt_Yes" hidden="1">#REF!</definedName>
    <definedName name="Debt_YesNo" hidden="1">#REF!</definedName>
    <definedName name="DebtAssumed">#REF!</definedName>
    <definedName name="DebtBookCapitalization">#REF!</definedName>
    <definedName name="DebtConvertPrice1">#REF!</definedName>
    <definedName name="DebtConvertPrice2">#REF!</definedName>
    <definedName name="DebtConvertPrice3">#REF!</definedName>
    <definedName name="DebtConvertPrice4">#REF!</definedName>
    <definedName name="DebtCoverage">#REF!</definedName>
    <definedName name="DebtEBITDA">#REF!</definedName>
    <definedName name="DebtIRR">#REF!</definedName>
    <definedName name="DebtMarketCapitalization">#REF!</definedName>
    <definedName name="DebtRentBookCapitalization">#REF!</definedName>
    <definedName name="DebtRentEBITDAR">#REF!</definedName>
    <definedName name="DebtRentMarketCapitalization">#REF!</definedName>
    <definedName name="DEBTSENSITIVITY">#REF!</definedName>
    <definedName name="debtservice">#REF!</definedName>
    <definedName name="DEC">#REF!</definedName>
    <definedName name="DECEMBER">#REF!</definedName>
    <definedName name="DecEndDate">#REF!</definedName>
    <definedName name="DEDUCT">#REF!</definedName>
    <definedName name="DEF" hidden="1">{#N/A,#N/A,FALSE,"T-1 Intangibles"}</definedName>
    <definedName name="DEFDLEASE1716">#REF!</definedName>
    <definedName name="DeferredTaxes">#REF!</definedName>
    <definedName name="del" hidden="1">{"Page1",#N/A,FALSE,"7979";"Page2",#N/A,FALSE,"7979";"Page3",#N/A,FALSE,"7979"}</definedName>
    <definedName name="delete_range_1">#REF!</definedName>
    <definedName name="delete_range_2">#REF!</definedName>
    <definedName name="delete_range_3">#REF!</definedName>
    <definedName name="delete_range_4">#REF!</definedName>
    <definedName name="delete_range_5">#REF!</definedName>
    <definedName name="delete_range_6">#REF!</definedName>
    <definedName name="delete_range_7">#REF!</definedName>
    <definedName name="DELIVERY_1">#REF!</definedName>
    <definedName name="DELIVERY_2">#REF!</definedName>
    <definedName name="DELIVERY_3">#REF!</definedName>
    <definedName name="DELIVERY_4">#REF!</definedName>
    <definedName name="DELIVERY_5">#REF!</definedName>
    <definedName name="DELME" localSheetId="2" hidden="1">{#N/A,#N/A,FALSE,"A";#N/A,#N/A,FALSE,"C"}</definedName>
    <definedName name="DELME" hidden="1">{#N/A,#N/A,FALSE,"A";#N/A,#N/A,FALSE,"C"}</definedName>
    <definedName name="DELME_condo" localSheetId="2" hidden="1">{#N/A,#N/A,FALSE,"A";#N/A,#N/A,FALSE,"C"}</definedName>
    <definedName name="DELME_condo" hidden="1">{#N/A,#N/A,FALSE,"A";#N/A,#N/A,FALSE,"C"}</definedName>
    <definedName name="DELME2" localSheetId="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" localSheetId="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3" localSheetId="2" hidden="1">{#N/A,#N/A,FALSE,"Common Area Accrual";#N/A,#N/A,FALSE,"Unit One LaSalle";#N/A,#N/A,FALSE,"Unit One CW";#N/A,#N/A,FALSE,"Unit One LaSallle + C &amp; W";#N/A,#N/A,FALSE,"Consolidated Accrual"}</definedName>
    <definedName name="DELME3" hidden="1">{#N/A,#N/A,FALSE,"Common Area Accrual";#N/A,#N/A,FALSE,"Unit One LaSalle";#N/A,#N/A,FALSE,"Unit One CW";#N/A,#N/A,FALSE,"Unit One LaSallle + C &amp; W";#N/A,#N/A,FALSE,"Consolidated Accrual"}</definedName>
    <definedName name="DELME3_Condo" localSheetId="2" hidden="1">{#N/A,#N/A,FALSE,"Common Area Accrual";#N/A,#N/A,FALSE,"Unit One LaSalle";#N/A,#N/A,FALSE,"Unit One CW";#N/A,#N/A,FALSE,"Unit One LaSallle + C &amp; W";#N/A,#N/A,FALSE,"Consolidated Accrual"}</definedName>
    <definedName name="DELME3_Condo" hidden="1">{#N/A,#N/A,FALSE,"Common Area Accrual";#N/A,#N/A,FALSE,"Unit One LaSalle";#N/A,#N/A,FALSE,"Unit One CW";#N/A,#N/A,FALSE,"Unit One LaSallle + C &amp; W";#N/A,#N/A,FALSE,"Consolidated Accrual"}</definedName>
    <definedName name="DELME4" localSheetId="2" hidden="1">{#N/A,#N/A,FALSE,"399 Park Var";#N/A,#N/A,FALSE,"PK NOTES"}</definedName>
    <definedName name="DELME4" hidden="1">{#N/A,#N/A,FALSE,"399 Park Var";#N/A,#N/A,FALSE,"PK NOTES"}</definedName>
    <definedName name="DELME4_Condo" localSheetId="2" hidden="1">{#N/A,#N/A,FALSE,"399 Park Var";#N/A,#N/A,FALSE,"PK NOTES"}</definedName>
    <definedName name="DELME4_Condo" hidden="1">{#N/A,#N/A,FALSE,"399 Park Var";#N/A,#N/A,FALSE,"PK NOTES"}</definedName>
    <definedName name="DELME5" localSheetId="2" hidden="1">{#N/A,#N/A,FALSE,"Expense Detail ";#N/A,#N/A,FALSE,"Worksheet";#N/A,#N/A,FALSE,"Audit";#N/A,#N/A,FALSE,"Exclusions";#N/A,#N/A,FALSE,"Variance";#N/A,#N/A,FALSE,"Reconciliation"}</definedName>
    <definedName name="DELME5" hidden="1">{#N/A,#N/A,FALSE,"Expense Detail ";#N/A,#N/A,FALSE,"Worksheet";#N/A,#N/A,FALSE,"Audit";#N/A,#N/A,FALSE,"Exclusions";#N/A,#N/A,FALSE,"Variance";#N/A,#N/A,FALSE,"Reconciliation"}</definedName>
    <definedName name="DELME5_Condo" localSheetId="2" hidden="1">{#N/A,#N/A,FALSE,"Expense Detail ";#N/A,#N/A,FALSE,"Worksheet";#N/A,#N/A,FALSE,"Audit";#N/A,#N/A,FALSE,"Exclusions";#N/A,#N/A,FALSE,"Variance";#N/A,#N/A,FALSE,"Reconciliation"}</definedName>
    <definedName name="DELME5_Condo" hidden="1">{#N/A,#N/A,FALSE,"Expense Detail ";#N/A,#N/A,FALSE,"Worksheet";#N/A,#N/A,FALSE,"Audit";#N/A,#N/A,FALSE,"Exclusions";#N/A,#N/A,FALSE,"Variance";#N/A,#N/A,FALSE,"Reconciliation"}</definedName>
    <definedName name="DELME5b" hidden="1">{#N/A,#N/A,FALSE,"Expense Detail ";#N/A,#N/A,FALSE,"Worksheet";#N/A,#N/A,FALSE,"Audit";#N/A,#N/A,FALSE,"Exclusions";#N/A,#N/A,FALSE,"Variance";#N/A,#N/A,FALSE,"Reconciliation"}</definedName>
    <definedName name="DELME7" localSheetId="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" localSheetId="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s" hidden="1">{#N/A,#N/A,FALSE,"Expense Detail ";#N/A,#N/A,FALSE,"Worksheet";#N/A,#N/A,FALSE,"Audit";#N/A,#N/A,FALSE,"Exclusions";#N/A,#N/A,FALSE,"Variance";#N/A,#N/A,FALSE,"Reconciliation"}</definedName>
    <definedName name="delta" hidden="1">{"ACCOUNTING COPY",#N/A,FALSE,"SCHEDULE A";"FINANCE COPY",#N/A,FALSE,"SCHEDULE A";"P.L. COPY",#N/A,FALSE,"SCHEDULE A"}</definedName>
    <definedName name="Demand">#REF!</definedName>
    <definedName name="DEMO">#N/A</definedName>
    <definedName name="DEMOLITION">#REF!</definedName>
    <definedName name="Dep">#REF!</definedName>
    <definedName name="depn_months">#REF!</definedName>
    <definedName name="DEPREC">#REF!</definedName>
    <definedName name="DepreciableAssetsAvgLife">#REF!</definedName>
    <definedName name="DepreciationAndDepletion">#REF!</definedName>
    <definedName name="descrip">#REF!</definedName>
    <definedName name="description">#REF!</definedName>
    <definedName name="Description1">#REF!</definedName>
    <definedName name="Description2">#REF!</definedName>
    <definedName name="Description3">#REF!</definedName>
    <definedName name="Description4">#REF!</definedName>
    <definedName name="detail">#REF!</definedName>
    <definedName name="DetailedCosts" hidden="1">{"CF",#N/A,FALSE,"Cash Flow";"RET",#N/A,FALSE,"Returns";"NPV",#N/A,FALSE,"Values";"ASMPT",#N/A,FALSE,"Assumptions"}</definedName>
    <definedName name="DetailStab">#REF!</definedName>
    <definedName name="DETBORDER">#REF!</definedName>
    <definedName name="DETEST">#REF!</definedName>
    <definedName name="dev_cap">#REF!</definedName>
    <definedName name="DEVCOSTS">#REF!</definedName>
    <definedName name="DEVFEE">#REF!</definedName>
    <definedName name="dex">#REF!</definedName>
    <definedName name="df" hidden="1">{"CoverSheet",#N/A,FALSE,"Cover Sheet";"AreaSum",#N/A,FALSE,"Master Area Summary";"Exclusions",#N/A,FALSE,"Exclusions";"EngEXsum",#N/A,FALSE,"Executive Summary";"Eng A sum",#N/A,FALSE,"Bldg A Summary";"EngAest",#N/A,FALSE,"BLDG.A";"EngCsum",#N/A,FALSE,"Bldg C Summary";"EngCest",#N/A,FALSE,"BLDG.C";"EngSTsum",#N/A,FALSE,"Site Summary";"Engsite",#N/A,FALSE,"Site work"}</definedName>
    <definedName name="dfd" hidden="1">{"FCB_ALL",#N/A,FALSE,"FCB";"GREY_ALL",#N/A,FALSE,"GREY"}</definedName>
    <definedName name="dfdas" hidden="1">{"FCB_ALL",#N/A,FALSE,"FCB";"GREY_ALL",#N/A,FALSE,"GREY"}</definedName>
    <definedName name="dfdfd" hidden="1">{"FCB_ALL",#N/A,FALSE,"FCB";"GREY_ALL",#N/A,FALSE,"GREY"}</definedName>
    <definedName name="dfdfdfd" hidden="1">{"FCB_ALL",#N/A,FALSE,"FCB"}</definedName>
    <definedName name="dfgd" hidden="1">{#N/A,#N/A,FALSE,"Cashflow Analysis";#N/A,#N/A,FALSE,"Sensitivity Analysis";#N/A,#N/A,FALSE,"PV";#N/A,#N/A,FALSE,"Pro Forma"}</definedName>
    <definedName name="DHG" hidden="1">{"cap_structure",#N/A,FALSE,"Graph-Mkt Cap";"price",#N/A,FALSE,"Graph-Price";"ebit",#N/A,FALSE,"Graph-EBITDA";"ebitda",#N/A,FALSE,"Graph-EBITDA"}</definedName>
    <definedName name="DilutedShares">#REF!</definedName>
    <definedName name="DirectCap">#REF!</definedName>
    <definedName name="dis" hidden="1">{#N/A,#N/A,FALSE,"Cashflow Analysis";#N/A,#N/A,FALSE,"Sensitivity Analysis";#N/A,#N/A,FALSE,"PV";#N/A,#N/A,FALSE,"Pro Forma"}</definedName>
    <definedName name="dis.2" hidden="1">{#N/A,#N/A,FALSE,"Cashflow Analysis";#N/A,#N/A,FALSE,"Sensitivity Analysis";#N/A,#N/A,FALSE,"PV";#N/A,#N/A,FALSE,"Pro Forma"}</definedName>
    <definedName name="disc_years">#REF!</definedName>
    <definedName name="DISCOUNT">#REF!</definedName>
    <definedName name="DISCOUNT_1">#REF!</definedName>
    <definedName name="DISCOUNT_2">#REF!</definedName>
    <definedName name="DISCOUNT_3">#REF!</definedName>
    <definedName name="DISCOUNT_4">#REF!</definedName>
    <definedName name="DISCOUNT_5">#REF!</definedName>
    <definedName name="Discount_Rate_for_NPV">#REF!</definedName>
    <definedName name="DiscountFactor">#REF!</definedName>
    <definedName name="DiscountYears">#REF!</definedName>
    <definedName name="Discrepancy" hidden="1">{"cashcons",#N/A,FALSE,"CASHCONS";"cash7000",#N/A,FALSE,"CASH7000";"cash9000",#N/A,FALSE,"CASH9000";"assu7000",#N/A,FALSE,"ASSU7000";"assu9000",#N/A,FALSE,"ASSU9000";"rentroll",#N/A,FALSE,"RENTROLL";"expr7000",#N/A,FALSE,"EXPR7000";"expr9000",#N/A,FALSE,"EXPR9000"}</definedName>
    <definedName name="Discrepancy_1" hidden="1">{"cashcons",#N/A,FALSE,"CASHCONS";"cash7000",#N/A,FALSE,"CASH7000";"cash9000",#N/A,FALSE,"CASH9000";"assu7000",#N/A,FALSE,"ASSU7000";"assu9000",#N/A,FALSE,"ASSU9000";"rentroll",#N/A,FALSE,"RENTROLL";"expr7000",#N/A,FALSE,"EXPR7000";"expr9000",#N/A,FALSE,"EXPR9000"}</definedName>
    <definedName name="DISCRETIONARY_PREMIUM">#REF!</definedName>
    <definedName name="diversified">#REF!</definedName>
    <definedName name="divestcash">#REF!</definedName>
    <definedName name="divestproceeds">#REF!</definedName>
    <definedName name="divestyear">#REF!</definedName>
    <definedName name="DividendA">#REF!</definedName>
    <definedName name="DividendB">#REF!</definedName>
    <definedName name="DividendPayoutRatioA">#REF!</definedName>
    <definedName name="DividendPayoutRatioB">#REF!</definedName>
    <definedName name="DividendYieldA">#REF!</definedName>
    <definedName name="DividendYieldB">#REF!</definedName>
    <definedName name="DlgProject">[0]!DlgProject</definedName>
    <definedName name="DME_ODMALinks1" hidden="1">"::ODMA\DME-MSE\London-44590=C:\TEMP\Dme\London-44590.xls"</definedName>
    <definedName name="dollar_SF">#REF!</definedName>
    <definedName name="DollarGrid">#REF!</definedName>
    <definedName name="DollarGridHistoric">#REF!</definedName>
    <definedName name="DollarGridMaxMin">#REF!</definedName>
    <definedName name="DollarGridMaxMinUsable">#REF!</definedName>
    <definedName name="DollarHeader">#REF!</definedName>
    <definedName name="DPRINT">#REF!</definedName>
    <definedName name="draw_facility">#REF!</definedName>
    <definedName name="Draw_Source10">#REF!</definedName>
    <definedName name="Draw_Source11">#REF!</definedName>
    <definedName name="Draw_Source12">#REF!</definedName>
    <definedName name="Draw_Source13">#REF!</definedName>
    <definedName name="Draw_Source3">#REF!</definedName>
    <definedName name="Draw_Source4">#REF!</definedName>
    <definedName name="Draw_Source5">#REF!</definedName>
    <definedName name="Draw_Use13">#REF!</definedName>
    <definedName name="Draw_Use18">#REF!</definedName>
    <definedName name="Draw_Use19">#REF!</definedName>
    <definedName name="Draw_Use29">#REF!</definedName>
    <definedName name="Draw_Use32">#REF!</definedName>
    <definedName name="Draw_Use38">#REF!</definedName>
    <definedName name="Draw_Use39">#REF!</definedName>
    <definedName name="Draw_Use40">#REF!</definedName>
    <definedName name="Draw_Use43">#REF!</definedName>
    <definedName name="Draw_Use5">#REF!</definedName>
    <definedName name="Draw_Use7">#REF!</definedName>
    <definedName name="DrawPercent">#REF!</definedName>
    <definedName name="ds" localSheetId="2" hidden="1">{#N/A,#N/A,FALSE,"P&amp;L";#N/A,#N/A,FALSE,"Var_Fixed_cost"}</definedName>
    <definedName name="ds" hidden="1">{#N/A,#N/A,FALSE,"P&amp;L";#N/A,#N/A,FALSE,"Var_Fixed_cost"}</definedName>
    <definedName name="dsa" hidden="1">{#N/A,#N/A,FALSE,"Chart 2 by Prop Type"}</definedName>
    <definedName name="dsfgdsfg" hidden="1">#REF!</definedName>
    <definedName name="DSRF_RATE_1">#REF!</definedName>
    <definedName name="DSRF_RATE_2">#REF!</definedName>
    <definedName name="DSRF_RATE_3">#REF!</definedName>
    <definedName name="DSRF_RATE_4">#REF!</definedName>
    <definedName name="DSRF_RATE_5">#REF!</definedName>
    <definedName name="DSRF_SIZE_1">#REF!</definedName>
    <definedName name="DSRF_SIZE_2">#REF!</definedName>
    <definedName name="DSRF_SIZE_3">#REF!</definedName>
    <definedName name="DSRF_SIZE_4">#REF!</definedName>
    <definedName name="DSRF_SIZE_5">#REF!</definedName>
    <definedName name="DSS" hidden="1">{"print STAY opening assumptions",#N/A,FALSE,"STAY Openings";"print STAY openings",#N/A,FALSE,"STAY Openings"}</definedName>
    <definedName name="DU">#REF!</definedName>
    <definedName name="DueDiligence">#REF!</definedName>
    <definedName name="DuffPhelps">#REF!</definedName>
    <definedName name="DUS_Liability">#REF!</definedName>
    <definedName name="DVLPBDG">#REF!</definedName>
    <definedName name="dzh" hidden="1">{#N/A,#N/A,FALSE,"Common Area Accrual";#N/A,#N/A,FALSE,"Unit One LaSalle";#N/A,#N/A,FALSE,"Unit One CW";#N/A,#N/A,FALSE,"Unit One LaSallle + C &amp; W";#N/A,#N/A,FALSE,"Consolidated Accrual"}</definedName>
    <definedName name="dzyh" hidden="1">{"SUMMARY",#N/A,FALSE,"Fin_sched"}</definedName>
    <definedName name="dzyhtd" hidden="1">{"SCHEDULE",#N/A,FALSE,"Fin_sched"}</definedName>
    <definedName name="E">#REF!</definedName>
    <definedName name="earnings_collateral">#REF!</definedName>
    <definedName name="Earth_Swell">#REF!</definedName>
    <definedName name="EARTHWORK">#REF!</definedName>
    <definedName name="East_mthly">OFFSET(#REF!,0,0,1,COUNT(#REF!))</definedName>
    <definedName name="East_pmts">OFFSET(#REF!,0,0,COUNT(#REF!),1)</definedName>
    <definedName name="EBIT">#REF!</definedName>
    <definedName name="EBITA">#REF!</definedName>
    <definedName name="EBITAGrowth">#REF!</definedName>
    <definedName name="EBITAMargin">#REF!</definedName>
    <definedName name="EBITCashInterest">#REF!</definedName>
    <definedName name="EBITDA">#REF!</definedName>
    <definedName name="EBITDA_mult">#REF!</definedName>
    <definedName name="EBITDA_mult1">#REF!</definedName>
    <definedName name="EBITDA_mult2">#REF!</definedName>
    <definedName name="EBITDA_mult3">#REF!</definedName>
    <definedName name="EBITDA_mult4">#REF!</definedName>
    <definedName name="EBITDA_mult5">#REF!</definedName>
    <definedName name="EBITDACAPEXCashInterest">#REF!</definedName>
    <definedName name="EBITDACAPEXGrossInterest">#REF!</definedName>
    <definedName name="EBITDACAPEXNetInterest">#REF!</definedName>
    <definedName name="EBITDACashInterest">#REF!</definedName>
    <definedName name="EBITDACashInterestDividends">#REF!</definedName>
    <definedName name="EBITDAGrossInterest">#REF!</definedName>
    <definedName name="EBITDAGrossInterestDividends">#REF!</definedName>
    <definedName name="EBITDAGrowth">#REF!</definedName>
    <definedName name="EBITDAInterestCoverage">#REF!</definedName>
    <definedName name="EBITDAMargin">#REF!</definedName>
    <definedName name="EBITDANetInterest">#REF!</definedName>
    <definedName name="EBITDANetInterestDividends">#REF!</definedName>
    <definedName name="EBITDAR">#REF!</definedName>
    <definedName name="EBITDARCAPEXCashInterestRent">#REF!</definedName>
    <definedName name="EBITDARCAPEXGrossInterestRent">#REF!</definedName>
    <definedName name="EBITDARCAPEXNetInterestRent">#REF!</definedName>
    <definedName name="EBITDARCashInterestRent">#REF!</definedName>
    <definedName name="EBITDARGrossInterestRent">#REF!</definedName>
    <definedName name="EBITDARGrowth">#REF!</definedName>
    <definedName name="EBITDARMargin">#REF!</definedName>
    <definedName name="EBITDARNetInterestRent">#REF!</definedName>
    <definedName name="EBITGrossInterest">#REF!</definedName>
    <definedName name="EBITGrowth">#REF!</definedName>
    <definedName name="EBITMargin">#REF!</definedName>
    <definedName name="EBITNetInterest">#REF!</definedName>
    <definedName name="edd" hidden="1">{"rtn",#N/A,FALSE,"RTN";"tables",#N/A,FALSE,"RTN";"cf",#N/A,FALSE,"CF";"stats",#N/A,FALSE,"Stats";"prop",#N/A,FALSE,"Prop"}</definedName>
    <definedName name="edfasfasf">#REF!</definedName>
    <definedName name="ee" hidden="1">{#N/A,#N/A,FALSE,"OperatingAssumptions"}</definedName>
    <definedName name="eee" hidden="1">{#N/A,#N/A,FALSE,"OperatingAssumptions"}</definedName>
    <definedName name="eeeee" hidden="1">{#N/A,#N/A,FALSE,"CAPREIT"}</definedName>
    <definedName name="eeeeee" hidden="1">#REF!</definedName>
    <definedName name="eeeeeeee" hidden="1">#REF!</definedName>
    <definedName name="eeerre" hidden="1">{#N/A,#N/A,FALSE,"1_Executive Summary";#N/A,#N/A,FALSE,"2_Assumptions";#N/A,#N/A,FALSE,"3_Footnotes";#N/A,#N/A,FALSE,"4_Cash Flow";#N/A,#N/A,FALSE,"6_Residual - Marketing";#N/A,#N/A,FALSE,"7_Residual Matrix";#N/A,#N/A,FALSE,"8_Pricing Matrix";#N/A,#N/A,FALSE,"9_Value Matrix";#N/A,#N/A,FALSE,"10_Vacancy Detail";#N/A,#N/A,FALSE,"11_Basic Expiration"}</definedName>
    <definedName name="eff_index">#REF!</definedName>
    <definedName name="effectivecondokeys">#REF!</definedName>
    <definedName name="effectivekeys">#REF!</definedName>
    <definedName name="EffectiveTaxRate">#REF!</definedName>
    <definedName name="efff" hidden="1">{"cashcons",#N/A,FALSE,"CASHCONS";"cash7000",#N/A,FALSE,"CASH7000";"cash9000",#N/A,FALSE,"CASH9000";"assu7000",#N/A,FALSE,"ASSU7000";"assu9000",#N/A,FALSE,"ASSU9000";"rentroll",#N/A,FALSE,"RENTROLL";"expr7000",#N/A,FALSE,"EXPR7000";"expr9000",#N/A,FALSE,"EXPR9000"}</definedName>
    <definedName name="efr" hidden="1">{#N/A,#N/A,FALSE,"Draw";#N/A,#N/A,FALSE,"PROFORMA";#N/A,#N/A,FALSE,"Assumptions";#N/A,#N/A,FALSE,"Costs"}</definedName>
    <definedName name="EIGHT">#REF!</definedName>
    <definedName name="ELEC">#REF!</definedName>
    <definedName name="ELECDATA">#REF!</definedName>
    <definedName name="ELECT">#REF!</definedName>
    <definedName name="Electric" hidden="1">{#N/A,#N/A,FALSE,"COVER";#N/A,#N/A,FALSE,"TABLE OF CONTENTS";#N/A,#N/A,FALSE,"EXEC SUMM";#N/A,#N/A,FALSE,"SURVEY";#N/A,#N/A,FALSE,"PROSPECT";#N/A,#N/A,FALSE,"NEW,EXPANSION,RENEWAL,RELET";#N/A,#N/A,FALSE,"EXPIRED,DEFAULTED";#N/A,#N/A,FALSE,"SIGNED LEASES";#N/A,#N/A,FALSE,"LOST TRANSACTIONS ";#N/A,#N/A,FALSE,"STACKING PLAN";#N/A,#N/A,FALSE,"EXPIRATIONS";#N/A,#N/A,FALSE,"OPTIONS";#N/A,#N/A,FALSE,"SUBLEASE";#N/A,#N/A,FALSE,"AR ANALYSIS";#N/A,#N/A,FALSE,"NER_IN_PLACE";#N/A,#N/A,FALSE,"NER_ACQ_DATE";#N/A,#N/A,FALSE,"titles"}</definedName>
    <definedName name="emb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Embassy_and_Marriott__Suburban__Airport__NOT_DOWNTOWN">#REF!</definedName>
    <definedName name="Encumbered_Space">#REF!</definedName>
    <definedName name="End_Bal">#REF!</definedName>
    <definedName name="EnergyExpense">#REF!</definedName>
    <definedName name="EnergyInflationRate">#REF!</definedName>
    <definedName name="ENTER_INCREASES">#REF!</definedName>
    <definedName name="Entity">#REF!</definedName>
    <definedName name="entitycodes">#REF!</definedName>
    <definedName name="ENTRIES" hidden="1">#REF!</definedName>
    <definedName name="ep" hidden="1">#REF!</definedName>
    <definedName name="equity">#REF!</definedName>
    <definedName name="Equity_LC">#REF!</definedName>
    <definedName name="equity_rental">#REF!</definedName>
    <definedName name="equity_to_tdcratio">#REF!</definedName>
    <definedName name="EquityBeta">#REF!</definedName>
    <definedName name="EquityInUnconsolidatedAffiliates">#REF!</definedName>
    <definedName name="EquityInvest">#REF!</definedName>
    <definedName name="EquityIRR">#REF!</definedName>
    <definedName name="EquityReq">#REF!</definedName>
    <definedName name="EquityTotal">#REF!</definedName>
    <definedName name="EquityValue">#REF!</definedName>
    <definedName name="ere" hidden="1">{"sheet a",#N/A,FALSE,"A";"2 9 casflow",#N/A,FALSE,"B"}</definedName>
    <definedName name="eree" hidden="1">{"cashcons",#N/A,FALSE,"CASHCONS";"cash7000",#N/A,FALSE,"CASH7000";"cash9000",#N/A,FALSE,"CASH9000";"assu7000",#N/A,FALSE,"ASSU7000";"assu9000",#N/A,FALSE,"ASSU9000";"rentroll",#N/A,FALSE,"RENTROLL";"expr7000",#N/A,FALSE,"EXPR7000";"expr9000",#N/A,FALSE,"EXPR9000"}</definedName>
    <definedName name="ERI">#REF!</definedName>
    <definedName name="errere" hidden="1">{#N/A,#N/A,FALSE,"Broker Sheet";#N/A,#N/A,FALSE,"Exec.Summary";#N/A,#N/A,FALSE,"Argus Cash Flow";#N/A,#N/A,FALSE,"SPF";#N/A,#N/A,FALSE,"RentRoll"}</definedName>
    <definedName name="Error" hidden="1">#REF!</definedName>
    <definedName name="errr" hidden="1">{"cashcons",#N/A,FALSE,"CASHCONS";"cash7000",#N/A,FALSE,"CASH7000";"cash9000",#N/A,FALSE,"CASH9000";"assu7000",#N/A,FALSE,"ASSU7000";"assu9000",#N/A,FALSE,"ASSU9000";"rentroll",#N/A,FALSE,"RENTROLL";"expr7000",#N/A,FALSE,"EXPR7000";"expr9000",#N/A,FALSE,"EXPR9000"}</definedName>
    <definedName name="ert5t6" hidden="1">{"Detail Project Cash Flow",#N/A,TRUE,"Cash Flow Grid";"Financing Calculation",#N/A,TRUE,"Cash Flow Grid"}</definedName>
    <definedName name="erw" hidden="1">{"Detail Project Cash Flow",#N/A,TRUE,"Cash Flow Grid";"Financing Calculation",#N/A,TRUE,"Cash Flow Grid"}</definedName>
    <definedName name="erwtwert" hidden="1">#REF!</definedName>
    <definedName name="escl_fac">#REF!</definedName>
    <definedName name="escrow">#REF!</definedName>
    <definedName name="estimate">#REF!</definedName>
    <definedName name="etyn" hidden="1">#REF!</definedName>
    <definedName name="ev.Calculation" hidden="1">-4135</definedName>
    <definedName name="ev.Initialized" hidden="1">FALSE</definedName>
    <definedName name="EV__DECIMALSYMBOL__" hidden="1">"."</definedName>
    <definedName name="EV__EVCOM_OPTIONS__" hidden="1">8</definedName>
    <definedName name="EV__EXPOPTIONS__" hidden="1">0</definedName>
    <definedName name="EV__LASTREFTIME__" hidden="1">40366.8460185185</definedName>
    <definedName name="EV__LOCKEDCVW__DRP" hidden="1">"R_REVROI,BU4085,CURRENT,INPUT,D1139,LC,2012.TOTAL,PERIODIC,"</definedName>
    <definedName name="EV__LOCKEDCVW__FINANCE" hidden="1">"GOI,BU4085,BUDGET,TOTALADJ,D_CON,All_InterCo,LC,2010.TOTAL,PERIODIC,"</definedName>
    <definedName name="EV__LOCKEDCVW__HCM" hidden="1">"PC_MNTHLY,BU4085,CURRENT,INPUT,D2148,E0,LC,2012.TOTAL,PERIODIC,"</definedName>
    <definedName name="EV__LOCKSTATUS__" hidden="1">4</definedName>
    <definedName name="EV__MAXEXPCOLS__" hidden="1">100</definedName>
    <definedName name="EV__MAXEXPROWS__" hidden="1">1000</definedName>
    <definedName name="EV__MEMORYCVW__" hidden="1">0</definedName>
    <definedName name="EV__WBEVMODE__" hidden="1">0</definedName>
    <definedName name="EV__WBREFOPTIONS__" hidden="1">55</definedName>
    <definedName name="EV__WBVERSION__" hidden="1">0</definedName>
    <definedName name="ewfr">#REF!</definedName>
    <definedName name="EXCAV">#N/A</definedName>
    <definedName name="excel" hidden="1">{#N/A,#N/A,FALSE}</definedName>
    <definedName name="excel_1" hidden="1">{#N/A,#N/A,FALSE}</definedName>
    <definedName name="ExcessCashrate">#REF!</definedName>
    <definedName name="ExchangeRatio">#REF!</definedName>
    <definedName name="Existing">#REF!</definedName>
    <definedName name="EXIT">#REF!</definedName>
    <definedName name="ExitCap">#REF!</definedName>
    <definedName name="Exitcap1440">#REF!</definedName>
    <definedName name="exitcap150">#REF!</definedName>
    <definedName name="Exitcap350">#REF!</definedName>
    <definedName name="exityear">#REF!</definedName>
    <definedName name="EXP">#REF!</definedName>
    <definedName name="Exp_Grow">#REF!</definedName>
    <definedName name="expense_growth_rate">#REF!</definedName>
    <definedName name="ExpenseAllocation">#REF!</definedName>
    <definedName name="expenses">#REF!</definedName>
    <definedName name="expirations">#REF!</definedName>
    <definedName name="EXPLender">#REF!</definedName>
    <definedName name="expmin1">#REF!</definedName>
    <definedName name="expmin2">#REF!</definedName>
    <definedName name="expmin3">#REF!</definedName>
    <definedName name="export">#REF!</definedName>
    <definedName name="ExpSub100">#REF!</definedName>
    <definedName name="Extra_Pay">#REF!</definedName>
    <definedName name="f" hidden="1">{"CF",#N/A,FALSE,"Cash Flow";"RET",#N/A,FALSE,"Returns";"NPV",#N/A,FALSE,"Values";"ASMPT",#N/A,FALSE,"Assumptions"}</definedName>
    <definedName name="F_B_Rev_Grow">#REF!</definedName>
    <definedName name="F_I.pmt">#REF!</definedName>
    <definedName name="Factor">#REF!</definedName>
    <definedName name="Factory">#REF!</definedName>
    <definedName name="fadsf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andBCostByTotal?">#REF!</definedName>
    <definedName name="FandBRevByTotal?">#REF!</definedName>
    <definedName name="far_max">#REF!</definedName>
    <definedName name="fasffSFffASFasfASFasf" hidden="1">{#N/A,#N/A,FALSE,"LP Exp";#N/A,#N/A,FALSE,"Salary";#N/A,#N/A,FALSE,"Admin Exp";#N/A,#N/A,FALSE,"QTS Bud";#N/A,#N/A,FALSE,"Marketing"}</definedName>
    <definedName name="FB">#REF!</definedName>
    <definedName name="FBGR11">#REF!</definedName>
    <definedName name="fcf_lev_terminal1">#REF!</definedName>
    <definedName name="fcf_lev_terminal2">#REF!</definedName>
    <definedName name="fcf_lev_terminal3">#REF!</definedName>
    <definedName name="fcf_lev_terminal4">#REF!</definedName>
    <definedName name="fcf_lev_terminal5">#REF!</definedName>
    <definedName name="fcf_unlev">#REF!</definedName>
    <definedName name="fcf_unlev_terminal1">#REF!</definedName>
    <definedName name="fcf_unlev_terminal2">#REF!</definedName>
    <definedName name="fcf_unlev_terminal3">#REF!</definedName>
    <definedName name="fcf_unlev_terminal4">#REF!</definedName>
    <definedName name="fcf_unlev_terminal5">#REF!</definedName>
    <definedName name="fcf_unlev10">#REF!</definedName>
    <definedName name="fcf_unlev5">#REF!</definedName>
    <definedName name="Fcosts">#REF!</definedName>
    <definedName name="Fcst_1999Format">#REF!</definedName>
    <definedName name="fd" hidden="1">#REF!</definedName>
    <definedName name="fdfdfd" hidden="1">{#N/A,#N/A,FALSE,"CAPREIT"}</definedName>
    <definedName name="fdfdfdf" hidden="1">{#N/A,#N/A,FALSE,"CAPREIT"}</definedName>
    <definedName name="fdgad" hidden="1">{"inputs raw data",#N/A,TRUE,"INPUT"}</definedName>
    <definedName name="fds" localSheetId="2" hidden="1">{"'下期集計（10.27迄・速報値）'!$Q$16"}</definedName>
    <definedName name="fds" hidden="1">{"'下期集計（10.27迄・速報値）'!$Q$16"}</definedName>
    <definedName name="FEB">#REF!</definedName>
    <definedName name="FebEndDate">#REF!</definedName>
    <definedName name="FEBRUARY">#REF!</definedName>
    <definedName name="FED_TAX_RATE">#REF!</definedName>
    <definedName name="fee">#REF!</definedName>
    <definedName name="fees">#REF!</definedName>
    <definedName name="fever" hidden="1">{"CF",#N/A,FALSE,"Cash Flow";"RET",#N/A,FALSE,"Returns";"NPV",#N/A,FALSE,"Values";"ASMPT",#N/A,FALSE,"Assumptions"}</definedName>
    <definedName name="ff" hidden="1">{#N/A,#N/A,TRUE,"Summary";"AnnualRentRoll",#N/A,TRUE,"RentRoll";#N/A,#N/A,TRUE,"ExitStratigy";#N/A,#N/A,TRUE,"OperatingAssumptions"}</definedName>
    <definedName name="fferw" hidden="1">{#N/A,#N/A,FALSE,"Cover";#N/A,#N/A,FALSE,"Major v. River";#N/A,#N/A,FALSE,"Industry";#N/A,#N/A,FALSE,"Stock Val";#N/A,#N/A,FALSE,"EBITDA";#N/A,#N/A,FALSE,"EBITDA Growth";#N/A,#N/A,FALSE,"LV REt";#N/A,#N/A,FALSE,"AC Ret";#N/A,#N/A,FALSE,"River Ret";#N/A,#N/A,FALSE,"Executive";#N/A,#N/A,FALSE,"Demographics";#N/A,#N/A,FALSE,"Leisure";#N/A,#N/A,FALSE,"States";#N/A,#N/A,FALSE,"nongame";#N/A,#N/A,FALSE,"nongame2";#N/A,#N/A,FALSE,"Room Margin";#N/A,#N/A,FALSE,"Hyp Casino";#N/A,#N/A,FALSE,"lv gates";#N/A,#N/A,FALSE,"potential";#N/A,#N/A,FALSE,"Large Operators";#N/A,#N/A,FALSE,"Smaller Operators";#N/A,#N/A,FALSE,"Equip. Supply";#N/A,#N/A,FALSE,"LV Detail $1 Mil"}</definedName>
    <definedName name="fff" hidden="1">{#N/A,#N/A,TRUE,"Summary";"AnnualRentRoll",#N/A,TRUE,"RentRoll";#N/A,#N/A,TRUE,"ExitStratigy";#N/A,#N/A,TRUE,"OperatingAssumptions"}</definedName>
    <definedName name="ffffff" hidden="1">{#N/A,#N/A,FALSE,"Cashflow Analysis";#N/A,#N/A,FALSE,"Sensitivity Analysis";#N/A,#N/A,FALSE,"PV";#N/A,#N/A,FALSE,"Pro Forma"}</definedName>
    <definedName name="ffffff.2" hidden="1">{#N/A,#N/A,FALSE,"Cashflow Analysis";#N/A,#N/A,FALSE,"Sensitivity Analysis";#N/A,#N/A,FALSE,"PV";#N/A,#N/A,FALSE,"Pro Forma"}</definedName>
    <definedName name="fffffffffffffffffffffff" hidden="1">#REF!</definedName>
    <definedName name="FFIVE">#REF!</definedName>
    <definedName name="ffl" hidden="1">#REF!</definedName>
    <definedName name="fgdf" hidden="1">{#N/A,#N/A,FALSE,"Common Area Accrual";#N/A,#N/A,FALSE,"Unit One LaSalle";#N/A,#N/A,FALSE,"Unit One CW";#N/A,#N/A,FALSE,"Unit One LaSalle + C &amp; W";#N/A,#N/A,FALSE,"Consolidated Accrual"}</definedName>
    <definedName name="fgdfs" hidden="1">{"FORMULAS",#N/A,FALSE,"ESTIMATE"}</definedName>
    <definedName name="fggg" localSheetId="2" hidden="1">{#N/A,#N/A,FALSE,"P&amp;L";#N/A,#N/A,FALSE,"Var_Fixed_cost"}</definedName>
    <definedName name="fggg" hidden="1">{#N/A,#N/A,FALSE,"P&amp;L";#N/A,#N/A,FALSE,"Var_Fixed_cost"}</definedName>
    <definedName name="fgsd" hidden="1">{"schedules",#N/A,FALSE,"CTT_CLO";"scheduleA",#N/A,FALSE,"CTT_CLO";"scheduleB",#N/A,FALSE,"CTT_CLO";"scheduleCD",#N/A,FALSE,"CTT_CLO";"scheduleEF",#N/A,FALSE,"CTT_CLO"}</definedName>
    <definedName name="FHA_RFR">#REF!</definedName>
    <definedName name="FHA_VC">#REF!</definedName>
    <definedName name="fhg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fhj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fi" hidden="1">#REF!</definedName>
    <definedName name="FICA">#REF!</definedName>
    <definedName name="FILE">#N/A</definedName>
    <definedName name="FileType" hidden="1">1</definedName>
    <definedName name="filla" hidden="1">#REF!</definedName>
    <definedName name="filler" hidden="1">{"Annual Cash Flows",#N/A,FALSE,"Annual Summary"}</definedName>
    <definedName name="filler2" hidden="1">{"Assumptions",#N/A,FALSE,"Assumptions"}</definedName>
    <definedName name="filler3" hidden="1">{"Construction Costs",#N/A,FALSE,"Total Costs"}</definedName>
    <definedName name="final" localSheetId="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final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final_saledate">#REF!</definedName>
    <definedName name="FINANCIAL">#REF!</definedName>
    <definedName name="FINBORDER">#REF!</definedName>
    <definedName name="FINDETAIL">#REF!</definedName>
    <definedName name="fine" hidden="1">{"Binder",#N/A,FALSE,"VARIANCES";"Binder",#N/A,FALSE,"DEPR";"Binder",#N/A,FALSE,"BAD DEBTS";"Binder",#N/A,FALSE,"ARrec";"Binder",#N/A,FALSE,"RECOVER";"Binder",#N/A,FALSE,"CAM DEPR";"Binder",#N/A,FALSE,"%RENT";"Binder",#N/A,FALSE,"NEWFASB";"Binder",#N/A,FALSE,"UNOREC CALC";"Binder",#N/A,FALSE,"MIE CALC";"Binder",#N/A,FALSE,"AMORT";"Binder",#N/A,FALSE,"6%LSE TEST";"Binder",#N/A,FALSE,"TI DETAIL";"Binder",#N/A,FALSE,"OTHER ASSETS";"Binder",#N/A,FALSE,"INTERCO";"Binder",#N/A,FALSE,"MGMT FEE";"Binder",#N/A,FALSE,"CIP INTEREST";"Binder",#N/A,FALSE,"CIP";"Binder",#N/A,FALSE,"RE TAXES";"Binder",#N/A,FALSE,"PAYROLL";"Binder",#N/A,FALSE,"OTHER LIAB";"Binder",#N/A,FALSE,"EQUITY"}</definedName>
    <definedName name="finsch">#REF!</definedName>
    <definedName name="FirmValue">#REF!</definedName>
    <definedName name="FIRST">#REF!</definedName>
    <definedName name="First_Mort">#REF!</definedName>
    <definedName name="First_Mort_Int">#REF!</definedName>
    <definedName name="First_Mortgage">#REF!</definedName>
    <definedName name="First_Page">#REF!</definedName>
    <definedName name="First_Tranche">#REF!</definedName>
    <definedName name="FIRSTA">#REF!</definedName>
    <definedName name="FirstAmort">#REF!</definedName>
    <definedName name="FirstAmortStart">#REF!</definedName>
    <definedName name="FirstAmount">#REF!</definedName>
    <definedName name="FirstCallDate">#REF!</definedName>
    <definedName name="FIRSTINT">#REF!</definedName>
    <definedName name="FirstMortgage">#REF!</definedName>
    <definedName name="FirstMtg">#REF!</definedName>
    <definedName name="FirstPymt">#REF!</definedName>
    <definedName name="FirstRate">#REF!</definedName>
    <definedName name="FirstTerm">#REF!</definedName>
    <definedName name="fiscal_year">#REF!</definedName>
    <definedName name="FISCAL_YR">#REF!</definedName>
    <definedName name="FISCAL_YRS">#REF!</definedName>
    <definedName name="Fitch">#REF!</definedName>
    <definedName name="FiveYearEPSGrowth">#REF!</definedName>
    <definedName name="fixed_assets" hidden="1">{"Detailed",#N/A,FALSE,"Schedule4"}</definedName>
    <definedName name="FIXED_FEES_1">#REF!</definedName>
    <definedName name="FIXED_FEES_2">#REF!</definedName>
    <definedName name="FIXED_FEES_3">#REF!</definedName>
    <definedName name="FIXED_FEES_4">#REF!</definedName>
    <definedName name="FIXED_FEES_5">#REF!</definedName>
    <definedName name="Fixed1">#REF!</definedName>
    <definedName name="Fixed2">#REF!</definedName>
    <definedName name="Fixed3">#REF!</definedName>
    <definedName name="Fixed4">#REF!</definedName>
    <definedName name="fksajf" hidden="1">{#N/A,#N/A,FALSE,"SCHEDULE A";"MINIMUM RENT",#N/A,FALSE,"SCHEDULES B &amp; C";"PERCENTAGE RENT",#N/A,FALSE,"SCHEDULES B &amp; C"}</definedName>
    <definedName name="fl" hidden="1">#REF!</definedName>
    <definedName name="fldfjlsd" hidden="1">#REF!</definedName>
    <definedName name="fll" hidden="1">#REF!</definedName>
    <definedName name="flll" hidden="1">#REF!</definedName>
    <definedName name="FLOW">#REF!</definedName>
    <definedName name="flskfjslkfjasf" hidden="1">#REF!</definedName>
    <definedName name="fm" hidden="1">{"summary1",#N/A,TRUE,"Comps";"summary2",#N/A,TRUE,"Comps";"summary3",#N/A,TRUE,"Comps"}</definedName>
    <definedName name="FMSF">#REF!</definedName>
    <definedName name="FOOD">#REF!</definedName>
    <definedName name="FoodExpense">#REF!</definedName>
    <definedName name="FoodRev1">#REF!</definedName>
    <definedName name="FoodRev2">#REF!</definedName>
    <definedName name="FoodRev3">#REF!</definedName>
    <definedName name="FoodRev4">#REF!</definedName>
    <definedName name="FoodRev5">#REF!</definedName>
    <definedName name="FoodRev6">#REF!</definedName>
    <definedName name="Footer">#REF!</definedName>
    <definedName name="Footnote1">#REF!</definedName>
    <definedName name="Footnote2">#REF!</definedName>
    <definedName name="Footnote3">#REF!</definedName>
    <definedName name="Footnote4">#REF!</definedName>
    <definedName name="Force">#REF!</definedName>
    <definedName name="forecast_table">#REF!</definedName>
    <definedName name="FORM">#REF!</definedName>
    <definedName name="Forward0">#REF!</definedName>
    <definedName name="Forward1">#REF!</definedName>
    <definedName name="Forward2">#REF!</definedName>
    <definedName name="FranchiseFeesExpense">#REF!</definedName>
    <definedName name="frank">#REF!</definedName>
    <definedName name="FreeCashFlow">#REF!</definedName>
    <definedName name="FREERENT">#REF!</definedName>
    <definedName name="FREERENTA">#REF!</definedName>
    <definedName name="FreeRentB">#REF!</definedName>
    <definedName name="FREERENTR">#REF!</definedName>
    <definedName name="Fronting_LC">#REF!</definedName>
    <definedName name="FSEVEN">#REF!</definedName>
    <definedName name="ftgygy" hidden="1">{#N/A,#N/A,FALSE,"LP Exp";#N/A,#N/A,FALSE,"Salary";#N/A,#N/A,FALSE,"Admin Exp";#N/A,#N/A,FALSE,"QTS Bud";#N/A,#N/A,FALSE,"Marketing"}</definedName>
    <definedName name="FTHREE">#REF!</definedName>
    <definedName name="ftu" hidden="1">{#N/A,#N/A,FALSE,"A";#N/A,#N/A,FALSE,"C"}</definedName>
    <definedName name="fuck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Full_Print">#REF!</definedName>
    <definedName name="FullyDilutedSharesOutstanding">#REF!</definedName>
    <definedName name="FUNDED">#REF!</definedName>
    <definedName name="FundsFromOperations">#REF!</definedName>
    <definedName name="FundsFromOperationsDebt">#REF!</definedName>
    <definedName name="FundsFromOperationsInterestCoverage">#REF!</definedName>
    <definedName name="FUTA">#REF!</definedName>
    <definedName name="FVFYE1EBIT">#REF!</definedName>
    <definedName name="FVFYE1EBITA">#REF!</definedName>
    <definedName name="FVFYE1EBITDA">#REF!</definedName>
    <definedName name="FVFYE1EBITDAR">#REF!</definedName>
    <definedName name="FVFYE1NetRevenues">#REF!</definedName>
    <definedName name="FVFYE1Other1">#REF!</definedName>
    <definedName name="FVFYE1Other2">#REF!</definedName>
    <definedName name="FVFYE1Other3">#REF!</definedName>
    <definedName name="FVFYE2EBIT">#REF!</definedName>
    <definedName name="FVFYE2EBITA">#REF!</definedName>
    <definedName name="FVFYE2EBITDA">#REF!</definedName>
    <definedName name="FVFYE2EBITDAR">#REF!</definedName>
    <definedName name="FVFYE2NetRevenues">#REF!</definedName>
    <definedName name="FVFYE2Other1">#REF!</definedName>
    <definedName name="FVFYE2Other2">#REF!</definedName>
    <definedName name="FVFYE2Other3">#REF!</definedName>
    <definedName name="FVLTMEBIT">#REF!</definedName>
    <definedName name="FVLTMEBITA">#REF!</definedName>
    <definedName name="FVLTMEBITDA">#REF!</definedName>
    <definedName name="FVLTMEBITDAR">#REF!</definedName>
    <definedName name="FVLTMOther1">#REF!</definedName>
    <definedName name="FVLTMOther2">#REF!</definedName>
    <definedName name="FVLTMOther3">#REF!</definedName>
    <definedName name="FVLTMRevenues">#REF!</definedName>
    <definedName name="fw">#REF!</definedName>
    <definedName name="FX">#REF!</definedName>
    <definedName name="FxvarRatios">#REF!</definedName>
    <definedName name="FYE1EBIT">#REF!</definedName>
    <definedName name="FYE1EBITA">#REF!</definedName>
    <definedName name="FYE1EBITDA">#REF!</definedName>
    <definedName name="FYE1EBITDAR">#REF!</definedName>
    <definedName name="FYE1NetRevenues">#REF!</definedName>
    <definedName name="FYE1Other1">#REF!</definedName>
    <definedName name="FYE1Other2">#REF!</definedName>
    <definedName name="FYE1Other3">#REF!</definedName>
    <definedName name="FYE2EBIT">#REF!</definedName>
    <definedName name="FYE2EBITA">#REF!</definedName>
    <definedName name="FYE2EBITDA">#REF!</definedName>
    <definedName name="FYE2EBITDAR">#REF!</definedName>
    <definedName name="FYE2NetRevenues">#REF!</definedName>
    <definedName name="FYE2Other1">#REF!</definedName>
    <definedName name="FYE2Other2">#REF!</definedName>
    <definedName name="FYE2Other3">#REF!</definedName>
    <definedName name="FYEDocument">#REF!</definedName>
    <definedName name="g" localSheetId="2" hidden="1">{#N/A,#N/A,FALSE,"P&amp;L";#N/A,#N/A,FALSE,"Var_Fixed_cost"}</definedName>
    <definedName name="g" hidden="1">{#N/A,#N/A,FALSE,"P&amp;L";#N/A,#N/A,FALSE,"Var_Fixed_cost"}</definedName>
    <definedName name="ｇ" localSheetId="2" hidden="1">{"'下期集計（10.27迄・速報値）'!$Q$16"}</definedName>
    <definedName name="ｇ" hidden="1">{"'下期集計（10.27迄・速報値）'!$Q$16"}</definedName>
    <definedName name="G.F.A">#REF!</definedName>
    <definedName name="GAGWT">#REF!</definedName>
    <definedName name="gain">#REF!</definedName>
    <definedName name="garage" hidden="1">{#N/A,#N/A,FALSE,"Garage Assumpt 1";#N/A,#N/A,FALSE,"Garage Op Proj";#N/A,#N/A,FALSE,"Hist I&amp;E";#N/A,#N/A,FALSE,"Garage Lease"}</definedName>
    <definedName name="garage_income">#REF!</definedName>
    <definedName name="garage_lease">#REF!</definedName>
    <definedName name="garage_sf">#REF!</definedName>
    <definedName name="GARAGERENT">#REF!</definedName>
    <definedName name="GASHEAT">#REF!</definedName>
    <definedName name="GBA">#REF!</definedName>
    <definedName name="gd" localSheetId="2" hidden="1">{"'下期集計（10.27迄・速報値）'!$Q$16"}</definedName>
    <definedName name="gd" hidden="1">{"'下期集計（10.27迄・速報値）'!$Q$16"}</definedName>
    <definedName name="gda" localSheetId="2" hidden="1">{"'下期集計（10.27迄・速報値）'!$Q$16"}</definedName>
    <definedName name="gda" hidden="1">{"'下期集計（10.27迄・速報値）'!$Q$16"}</definedName>
    <definedName name="gdsa" localSheetId="2" hidden="1">{"'下期集計（10.27迄・速報値）'!$Q$16"}</definedName>
    <definedName name="gdsa" hidden="1">{"'下期集計（10.27迄・速報値）'!$Q$16"}</definedName>
    <definedName name="GEA">#REF!</definedName>
    <definedName name="gegeg" hidden="1">{#N/A,#N/A,FALSE,"Cashflow Analysis";#N/A,#N/A,FALSE,"Sensitivity Analysis";#N/A,#N/A,FALSE,"PV";#N/A,#N/A,FALSE,"Pro Forma"}</definedName>
    <definedName name="gegeg.2" hidden="1">{#N/A,#N/A,FALSE,"Cashflow Analysis";#N/A,#N/A,FALSE,"Sensitivity Analysis";#N/A,#N/A,FALSE,"PV";#N/A,#N/A,FALSE,"Pro Forma"}</definedName>
    <definedName name="GENERAL">#REF!</definedName>
    <definedName name="GENERAL_OFFICE">#REF!</definedName>
    <definedName name="GeneralConditions">#REF!</definedName>
    <definedName name="generalinflation">#REF!</definedName>
    <definedName name="GEOMATRIX">#REF!</definedName>
    <definedName name="ger">#REF!</definedName>
    <definedName name="gfa">#REF!</definedName>
    <definedName name="gfaa">#REF!</definedName>
    <definedName name="gfas">#REF!</definedName>
    <definedName name="gfdgfdsgrds" localSheetId="2" hidden="1">{#N/A,#N/A,FALSE,"P&amp;L";#N/A,#N/A,FALSE,"Var_Fixed_cost"}</definedName>
    <definedName name="gfdgfdsgrds" hidden="1">{#N/A,#N/A,FALSE,"P&amp;L";#N/A,#N/A,FALSE,"Var_Fixed_cost"}</definedName>
    <definedName name="gfhs" hidden="1">{"summary1",#N/A,TRUE,"Comps";"summary2",#N/A,TRUE,"Comps";"summary3",#N/A,TRUE,"Comps"}</definedName>
    <definedName name="gg" hidden="1">{#N/A,#N/A,FALSE,"PropertyInfo"}</definedName>
    <definedName name="gg.2" hidden="1">{#N/A,#N/A,FALSE,"Cashflow Analysis";#N/A,#N/A,FALSE,"Sensitivity Analysis";#N/A,#N/A,FALSE,"PV";#N/A,#N/A,FALSE,"Pro Forma"}</definedName>
    <definedName name="ggcondo_int">#REF!</definedName>
    <definedName name="ggcondo_intadd">#REF!</definedName>
    <definedName name="ggfa">#REF!</definedName>
    <definedName name="ggg" localSheetId="2" hidden="1">{#N/A,#N/A,FALSE,"P&amp;L";#N/A,#N/A,FALSE,"Var_Fixed_cost"}</definedName>
    <definedName name="ggg" hidden="1">{#N/A,#N/A,FALSE,"P&amp;L";#N/A,#N/A,FALSE,"Var_Fixed_cost"}</definedName>
    <definedName name="ggggggggg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gggggggggg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gggh" hidden="1">#REF!</definedName>
    <definedName name="ggh" hidden="1">#REF!</definedName>
    <definedName name="gherh" hidden="1">#REF!</definedName>
    <definedName name="GKUY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GL">#REF!</definedName>
    <definedName name="GlobalComps">#REF!</definedName>
    <definedName name="gloria_bldable">#REF!</definedName>
    <definedName name="gmail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GMV">#REF!</definedName>
    <definedName name="Goodwill">#REF!</definedName>
    <definedName name="GOVERNMENT">#REF!</definedName>
    <definedName name="GP">#REF!</definedName>
    <definedName name="GPR">#REF!</definedName>
    <definedName name="gr" hidden="1">{"three",#N/A,FALSE,"Capital";"four",#N/A,FALSE,"Capital"}</definedName>
    <definedName name="graph" hidden="1">#REF!</definedName>
    <definedName name="GROSS">#REF!</definedName>
    <definedName name="gross_below">#REF!</definedName>
    <definedName name="gross_bldbl">#REF!</definedName>
    <definedName name="gross_bldbl_rental">#REF!</definedName>
    <definedName name="gross_leaseretail">#REF!</definedName>
    <definedName name="gross_rentable_residential_sf">#REF!</definedName>
    <definedName name="gross_sales">#REF!</definedName>
    <definedName name="gross_sf">#REF!</definedName>
    <definedName name="gross_square_feet">#REF!</definedName>
    <definedName name="GrossProfit">#REF!</definedName>
    <definedName name="GrossProfitMargin">#REF!</definedName>
    <definedName name="GrossSF">#REF!</definedName>
    <definedName name="GrossSFCondos">#REF!</definedName>
    <definedName name="ground_rent_growth">#REF!</definedName>
    <definedName name="grow">#REF!</definedName>
    <definedName name="growth_schedule">#REF!</definedName>
    <definedName name="GrowthCase">#REF!</definedName>
    <definedName name="GRR">#REF!</definedName>
    <definedName name="gsf">#REF!</definedName>
    <definedName name="GSFFIN">#REF!</definedName>
    <definedName name="GTOTAL">#REF!</definedName>
    <definedName name="GUAGE">#REF!</definedName>
    <definedName name="GuarantyNPV">#REF!</definedName>
    <definedName name="GuarDiscRate">#REF!</definedName>
    <definedName name="Guestrooms">#REF!</definedName>
    <definedName name="gygu" hidden="1">{#N/A,#N/A,FALSE,"1_Executive Summary";#N/A,#N/A,FALSE,"2_Assumptions";#N/A,#N/A,FALSE,"3_Footnotes";#N/A,#N/A,FALSE,"4_Cash Flow";#N/A,#N/A,FALSE,"6_Residual - Marketing";#N/A,#N/A,FALSE,"7_Residual Matrix";#N/A,#N/A,FALSE,"8_Pricing Matrix";#N/A,#N/A,FALSE,"9_Value Matrix";#N/A,#N/A,FALSE,"10_Vacancy Detail";#N/A,#N/A,FALSE,"11_Basic Expiration"}</definedName>
    <definedName name="h" hidden="1">{#N/A,#N/A,FALSE,"PropertyInfo"}</definedName>
    <definedName name="ｈ" localSheetId="2" hidden="1">{"'下期集計（10.27迄・速報値）'!$Q$16"}</definedName>
    <definedName name="ｈ" hidden="1">{"'下期集計（10.27迄・速報値）'!$Q$16"}</definedName>
    <definedName name="Ｈ16・１" localSheetId="2" hidden="1">{"'コメント'!$A$1:$C$37"}</definedName>
    <definedName name="Ｈ16・１" hidden="1">{"'コメント'!$A$1:$C$37"}</definedName>
    <definedName name="H16･1速報" localSheetId="2" hidden="1">{"'コメント'!$A$1:$C$37"}</definedName>
    <definedName name="H16･1速報" hidden="1">{"'コメント'!$A$1:$C$37"}</definedName>
    <definedName name="HAF">#REF!</definedName>
    <definedName name="hardcost_SF">#REF!</definedName>
    <definedName name="HardCosts">#REF!</definedName>
    <definedName name="hardcosts_psf_rental">#REF!</definedName>
    <definedName name="hc">#REF!</definedName>
    <definedName name="hccont">#REF!</definedName>
    <definedName name="hccontin">#REF!</definedName>
    <definedName name="Hcosts">#REF!</definedName>
    <definedName name="HD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HDCDSC">#REF!</definedName>
    <definedName name="HDCEXPENSES">#REF!</definedName>
    <definedName name="HDCFIRST">#REF!</definedName>
    <definedName name="HDCSECOND">#REF!</definedName>
    <definedName name="hdhdh" hidden="1">#REF!</definedName>
    <definedName name="hdjgh">#REF!</definedName>
    <definedName name="head" hidden="1">#REF!</definedName>
    <definedName name="Header">#REF!</definedName>
    <definedName name="Header_All_Columns">#REF!</definedName>
    <definedName name="Header_Row">ROW(#REF!)</definedName>
    <definedName name="HEADS">#REF!</definedName>
    <definedName name="healthcare">#REF!</definedName>
    <definedName name="help">[0]!help</definedName>
    <definedName name="HERE">#REF!</definedName>
    <definedName name="HF">#REF!</definedName>
    <definedName name="HFH" hidden="1">{"print annual inc. statement",#N/A,FALSE,"Summary";"print annual stats",#N/A,FALSE,"Summary";"print quarterly inc. statement",#N/A,FALSE,"Summary";"print quarterly stats",#N/A,FALSE,"Summary"}</definedName>
    <definedName name="hgcfjhcf" hidden="1">#REF!</definedName>
    <definedName name="hgfa">#REF!</definedName>
    <definedName name="hghg" hidden="1">{#N/A,#N/A,TRUE,"Ericsson Stadium PCD ";#N/A,#N/A,TRUE,"Ericsson Stadium IOR"}</definedName>
    <definedName name="hgjhgb" hidden="1">#REF!</definedName>
    <definedName name="hgjkhg" hidden="1">#REF!</definedName>
    <definedName name="hh" hidden="1">{#N/A,#N/A,FALSE,"Summary"}</definedName>
    <definedName name="hhdd" hidden="1">#REF!</definedName>
    <definedName name="hhh" hidden="1">{#N/A,#N/A,FALSE,"Summary"}</definedName>
    <definedName name="hhhbv" hidden="1">#REF!</definedName>
    <definedName name="hhhh" hidden="1">#REF!</definedName>
    <definedName name="hhhhhhhhhhhh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hidden">#REF!,#REF!,#REF!,#REF!</definedName>
    <definedName name="HighDateA">#REF!</definedName>
    <definedName name="HighDateB">#REF!</definedName>
    <definedName name="HighOption1">#REF!</definedName>
    <definedName name="HighOption2">#REF!</definedName>
    <definedName name="HighOption3">#REF!</definedName>
    <definedName name="HighOption4">#REF!</definedName>
    <definedName name="HighPriceA">#REF!</definedName>
    <definedName name="HighPriceB">#REF!</definedName>
    <definedName name="Hist_ADR">#REF!</definedName>
    <definedName name="hist_days1">#REF!</definedName>
    <definedName name="hist_days2">#REF!</definedName>
    <definedName name="hist_days3">#REF!</definedName>
    <definedName name="HIST_DEMAND">#REF!</definedName>
    <definedName name="hist_occ_chart">"Chart 1"</definedName>
    <definedName name="HIST_PEN">#REF!</definedName>
    <definedName name="HIST1">#REF!</definedName>
    <definedName name="HIST2">#REF!</definedName>
    <definedName name="HIST3">#REF!</definedName>
    <definedName name="HIST4">#REF!</definedName>
    <definedName name="HIST5">#REF!</definedName>
    <definedName name="HistDemand">#REF!</definedName>
    <definedName name="histocc">#REF!</definedName>
    <definedName name="History">#REF!</definedName>
    <definedName name="HistYear1">#REF!</definedName>
    <definedName name="HistYear2">#REF!</definedName>
    <definedName name="HistYear3">#REF!</definedName>
    <definedName name="HistYear4">#REF!</definedName>
    <definedName name="hjf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HL_Sheet_Main" hidden="1">#REF!</definedName>
    <definedName name="hlbfs_print_consolidated_Gift_Shop">#REF!</definedName>
    <definedName name="hlbfs_print_consolidated_kitchen">#REF!</definedName>
    <definedName name="hlbfs_print_consolidated_Laundry">#REF!</definedName>
    <definedName name="hlbfs_print_consolidated_Other_Allocated">#REF!</definedName>
    <definedName name="hlbfs_print_consolidated_restaurant">#REF!</definedName>
    <definedName name="hlbfs_print_dept_20">#REF!</definedName>
    <definedName name="hlbfs_print_dept_21">#REF!</definedName>
    <definedName name="hlbfs_print_dept_22">#REF!</definedName>
    <definedName name="hlbfs_print_dept_31">#REF!</definedName>
    <definedName name="hlbfs_print_dept_32">#REF!</definedName>
    <definedName name="hlbfs_print_dept_41">#REF!</definedName>
    <definedName name="hlbfs_print_dept_42">#REF!</definedName>
    <definedName name="hlbfs_print_dept_43">#REF!</definedName>
    <definedName name="hlbfs_print_dept_44">#REF!</definedName>
    <definedName name="hlbfs_print_dept_45">#REF!</definedName>
    <definedName name="hlbfs_print_dept_46">#REF!</definedName>
    <definedName name="hlbfs_print_dept_47">#REF!</definedName>
    <definedName name="hlbfs_print_dept_48">#REF!</definedName>
    <definedName name="hlbfs_print_dept_49">#REF!</definedName>
    <definedName name="hlbfs_print_dept_50">#REF!</definedName>
    <definedName name="hlbfs_print_dept_51">#REF!</definedName>
    <definedName name="hlbfs_print_dept_52">#REF!</definedName>
    <definedName name="hlbfs_print_dept_53">#REF!</definedName>
    <definedName name="hlbfs_print_dept_54">#REF!</definedName>
    <definedName name="hlbfs_print_dept_60">#REF!</definedName>
    <definedName name="hlbfs_print_dept_61">#REF!</definedName>
    <definedName name="hlbfs_print_dept_62">#REF!</definedName>
    <definedName name="hlbfs_print_dept_63">#REF!</definedName>
    <definedName name="hlbfs_print_dept_64">#REF!</definedName>
    <definedName name="hlbfs_print_dept_65">#REF!</definedName>
    <definedName name="hlbfs_print_dept_66">#REF!</definedName>
    <definedName name="hlbfs_print_dept_67">#REF!</definedName>
    <definedName name="hlbfs_print_dept_68">#REF!</definedName>
    <definedName name="HLBFSCurrencyCode">"USD"</definedName>
    <definedName name="HLBFSHideMonths">#REF!,#REF!</definedName>
    <definedName name="HLBFSReportingS1S3Skip">0</definedName>
    <definedName name="HLBFSReportingSourceFile">"PRPT02"</definedName>
    <definedName name="HLBFSReviewReport">FALSE</definedName>
    <definedName name="HMLkUp" hidden="1">#REF!</definedName>
    <definedName name="HMSeek" hidden="1">#REF!</definedName>
    <definedName name="hn.DZ_MultByFXRates" hidden="1">#REF!,#REF!,#REF!,#REF!</definedName>
    <definedName name="hn.ModelVersion" hidden="1">1</definedName>
    <definedName name="hn.NoUpload" hidden="1">0</definedName>
    <definedName name="Hold_Period">#REF!</definedName>
    <definedName name="HoldPeriod">#REF!</definedName>
    <definedName name="hope" localSheetId="2" hidden="1">{#N/A,#N/A,FALSE,"LP Exp";#N/A,#N/A,FALSE,"Salary";#N/A,#N/A,FALSE,"Admin Exp";#N/A,#N/A,FALSE,"QTS Bud";#N/A,#N/A,FALSE,"Marketing"}</definedName>
    <definedName name="hope" hidden="1">{#N/A,#N/A,FALSE,"LP Exp";#N/A,#N/A,FALSE,"Salary";#N/A,#N/A,FALSE,"Admin Exp";#N/A,#N/A,FALSE,"QTS Bud";#N/A,#N/A,FALSE,"Marketing"}</definedName>
    <definedName name="hope_condo" localSheetId="2" hidden="1">{#N/A,#N/A,FALSE,"LP Exp";#N/A,#N/A,FALSE,"Salary";#N/A,#N/A,FALSE,"Admin Exp";#N/A,#N/A,FALSE,"QTS Bud";#N/A,#N/A,FALSE,"Marketing"}</definedName>
    <definedName name="hope_condo" hidden="1">{#N/A,#N/A,FALSE,"LP Exp";#N/A,#N/A,FALSE,"Salary";#N/A,#N/A,FALSE,"Admin Exp";#N/A,#N/A,FALSE,"QTS Bud";#N/A,#N/A,FALSE,"Marketing"}</definedName>
    <definedName name="HorizonPeriod">#REF!</definedName>
    <definedName name="Hotcomp1">#REF!</definedName>
    <definedName name="Hotcomp2">#REF!</definedName>
    <definedName name="Hotcomp3">#REF!</definedName>
    <definedName name="hotel">#REF!</definedName>
    <definedName name="Hotel_Open">#REF!</definedName>
    <definedName name="HOTEL_PSF">#REF!</definedName>
    <definedName name="Hotel_SF">#REF!</definedName>
    <definedName name="HotelName">#REF!</definedName>
    <definedName name="Hp">#REF!</definedName>
    <definedName name="HPDSummary">#REF!</definedName>
    <definedName name="HS">#REF!</definedName>
    <definedName name="hsfdhs" hidden="1">#REF!</definedName>
    <definedName name="HTM_Control" localSheetId="2" hidden="1">{"'下期集計（10.27迄・速報値）'!$Q$16"}</definedName>
    <definedName name="HTM_Control" hidden="1">{"'下期集計（10.27迄・速報値）'!$Q$16"}</definedName>
    <definedName name="ＨＴＭＬ" localSheetId="2" hidden="1">{"'コメント'!$A$1:$C$37"}</definedName>
    <definedName name="ＨＴＭＬ" hidden="1">{"'コメント'!$A$1:$C$37"}</definedName>
    <definedName name="HTML_CodePage" hidden="1">1252</definedName>
    <definedName name="HTML_Control" localSheetId="2" hidden="1">{"'Highlights'!$A$1:$M$123"}</definedName>
    <definedName name="HTML_Control" hidden="1">{"'Highlights'!$A$1:$M$123"}</definedName>
    <definedName name="HTML_Description" hidden="1">""</definedName>
    <definedName name="HTML_Email" hidden="1">"scottt@phx.mcd.mot.com"</definedName>
    <definedName name="HTML_Header" hidden="1">"Highlights"</definedName>
    <definedName name="HTML_LastUpdate" hidden="1">"6/24/97"</definedName>
    <definedName name="HTML_LineAfter" hidden="1">FALSE</definedName>
    <definedName name="HTML_LineBefore" hidden="1">TRUE</definedName>
    <definedName name="HTML_Name" hidden="1">"Scott Traasdahl"</definedName>
    <definedName name="HTML_OBDlg2" hidden="1">TRUE</definedName>
    <definedName name="HTML_OBDlg4" hidden="1">TRUE</definedName>
    <definedName name="HTML_OS" hidden="1">0</definedName>
    <definedName name="HTML_PathFile" hidden="1">"C:\xldata\july2000cash.htm"</definedName>
    <definedName name="HTML_Title" hidden="1">"97JunOpsRvw"</definedName>
    <definedName name="HTML1_1" hidden="1">"'[E4_8190.XLS]counties only'!$A$1:$C$379"</definedName>
    <definedName name="HTML1_10" hidden="1">""</definedName>
    <definedName name="HTML1_11" hidden="1">1</definedName>
    <definedName name="HTML1_12" hidden="1">"Aswath:Adobe SiteMill™ 1.0.2:MyHomePage:FCFF3.html"</definedName>
    <definedName name="HTML1_2" hidden="1">1</definedName>
    <definedName name="HTML1_3" hidden="1">"FCFF3"</definedName>
    <definedName name="HTML1_4" hidden="1">"Three-Stage FCFF Model"</definedName>
    <definedName name="HTML1_5" hidden="1">""</definedName>
    <definedName name="HTML1_6" hidden="1">-4146</definedName>
    <definedName name="HTML1_7" hidden="1">-4146</definedName>
    <definedName name="HTML1_8" hidden="1">"10/22/96"</definedName>
    <definedName name="HTML1_9" hidden="1">"Aswath Damodaran"</definedName>
    <definedName name="HTML10_1" hidden="1">"'[E4_8190.XLS]80-90 counties'!$A$1:$M$516"</definedName>
    <definedName name="HTML10_12" hidden="1">"P:\t\ttest.htm"</definedName>
    <definedName name="HTML11_1" hidden="1">"'[E4_8190.XLS]80-90 counties'!$A$1:$U$528"</definedName>
    <definedName name="HTML11_12" hidden="1">"P:\t\tttest.htm"</definedName>
    <definedName name="HTML12_1" hidden="1">"'[E4_8190.XLS]80-90 counties'!$A$1:$V$423"</definedName>
    <definedName name="HTML12_12" hidden="1">"P:\t\tttest.htm"</definedName>
    <definedName name="HTML13_1" hidden="1">"'[E4_8190.XLS]80-90 counties html'!$A$1:$AA$315"</definedName>
    <definedName name="HTML13_12" hidden="1">"P:\t\test.htm"</definedName>
    <definedName name="HTML14_1" hidden="1">"'[E48190-2.XLS]80-90 counties html'!$A$1:$AA$315"</definedName>
    <definedName name="HTML14_12" hidden="1">"P:\T\test.htm"</definedName>
    <definedName name="HTML15_1" hidden="1">"'[E48190-2.XLS]80-90 counties html'!$A$1:$AA$329"</definedName>
    <definedName name="HTML15_12" hidden="1">"p:\t\test"</definedName>
    <definedName name="HTML16_1" hidden="1">"'[E48190-2.XLS]80-90 counties html'!$A$1:$AA$321"</definedName>
    <definedName name="HTML16_12" hidden="1">"P:\t\test.htm"</definedName>
    <definedName name="HTML17_1" hidden="1">"'[E48190-2.XLS]80-90 counties html'!$A$1:$K$321"</definedName>
    <definedName name="HTML17_12" hidden="1">"P:\T\e4.htm"</definedName>
    <definedName name="HTML18_1" hidden="1">"'[E48190-3.XLS]cities.html final'!$A$1:$M$1638"</definedName>
    <definedName name="HTML18_12" hidden="1">"P:\T\e4cities.htm"</definedName>
    <definedName name="HTML19_1" hidden="1">"'[E48190-3.XLS]81-90 counties html'!$C$1:$K$213"</definedName>
    <definedName name="HTML19_12" hidden="1">"p:\t.htm"</definedName>
    <definedName name="HTML2_1" hidden="1">"[E4_8190.XLS]cities_html!$A$1:$F$1508"</definedName>
    <definedName name="HTML2_12" hidden="1">"P:\t\90e-4aci"</definedName>
    <definedName name="HTML3_1" hidden="1">"[E4_8190.XLS]cities_html!$A$1:$F$1652"</definedName>
    <definedName name="HTML3_12" hidden="1">"p:\t\90e4.htm"</definedName>
    <definedName name="HTML4_1" hidden="1">"[E4_8190.XLS]cities_html!$A$1:$F$201"</definedName>
    <definedName name="HTML4_12" hidden="1">"P:\t\e4cnties.htm"</definedName>
    <definedName name="HTML5_1" hidden="1">"[E4_8190.XLS]cities_html!$A$103:$F$1944"</definedName>
    <definedName name="HTML5_12" hidden="1">"p:\t\90e4ctes.htm"</definedName>
    <definedName name="HTML6_1" hidden="1">"[E4_8190.XLS]cities_html!$A$207:$F$1944"</definedName>
    <definedName name="HTML6_12" hidden="1">"p:\t\90e4ctes.htm"</definedName>
    <definedName name="HTML7_1" hidden="1">"[E4_8190.XLS]counties!$A$1:$G$199"</definedName>
    <definedName name="HTML7_12" hidden="1">"P:\T\90E4CNTY.htm"</definedName>
    <definedName name="HTML8_1" hidden="1">"[E4_8190.XLS]Sheet1!$A$1:$E$405"</definedName>
    <definedName name="HTML8_12" hidden="1">"P:\t\90e4cnty.htm"</definedName>
    <definedName name="HTML9_1" hidden="1">"'[E4_8190.XLS]80-90 counties'!$A$1:$H$414"</definedName>
    <definedName name="HTML9_12" hidden="1">"P:\t\ttest.htm"</definedName>
    <definedName name="HTMLCount" hidden="1">1</definedName>
    <definedName name="Huh">[0]!Huh</definedName>
    <definedName name="Hunter1A_Bottom">#REF!</definedName>
    <definedName name="Hunter1A_Top">#REF!</definedName>
    <definedName name="Hunter1B_Bottom">#REF!</definedName>
    <definedName name="Hunter1B_Top">#REF!</definedName>
    <definedName name="HURDLE">#REF!</definedName>
    <definedName name="hurdle1">#REF!</definedName>
    <definedName name="hurdle2">#REF!</definedName>
    <definedName name="hurdle3">#REF!</definedName>
    <definedName name="HVFormula1">#REF!</definedName>
    <definedName name="HVFormula2">#REF!</definedName>
    <definedName name="HVFormula3">#REF!</definedName>
    <definedName name="hy" hidden="1">{"Binder",#N/A,FALSE,"VARIANCES";"Binder",#N/A,FALSE,"DEPR";"Binder",#N/A,FALSE,"BAD DEBTS";"Binder",#N/A,FALSE,"ARrec";"Binder",#N/A,FALSE,"RECOVER";"Binder",#N/A,FALSE,"CAM DEPR";"Binder",#N/A,FALSE,"%RENT";"Binder",#N/A,FALSE,"NEWFASB";"Binder",#N/A,FALSE,"UNOREC CALC";"Binder",#N/A,FALSE,"MIE CALC";"Binder",#N/A,FALSE,"AMORT";"Binder",#N/A,FALSE,"6%LSE TEST";"Binder",#N/A,FALSE,"TI DETAIL";"Binder",#N/A,FALSE,"OTHER ASSETS";"Binder",#N/A,FALSE,"INTERCO";"Binder",#N/A,FALSE,"MGMT FEE";"Binder",#N/A,FALSE,"CIP INTEREST";"Binder",#N/A,FALSE,"CIP";"Binder",#N/A,FALSE,"RE TAXES";"Binder",#N/A,FALSE,"PAYROLL";"Binder",#N/A,FALSE,"OTHER LIAB";"Binder",#N/A,FALSE,"EQUITY"}</definedName>
    <definedName name="i" hidden="1">#REF!</definedName>
    <definedName name="I._SUMMARY_OF_PROPOSED_FINANCING">#REF!</definedName>
    <definedName name="I.RATE">#REF!</definedName>
    <definedName name="I_A">#REF!</definedName>
    <definedName name="I_RATE">#REF!</definedName>
    <definedName name="IBESDate">#REF!</definedName>
    <definedName name="ic">#REF!</definedName>
    <definedName name="ie">#REF!</definedName>
    <definedName name="IE1_">#REF!</definedName>
    <definedName name="ignore" hidden="1">{#N/A,#N/A,FALSE,"WATCHDSC";#N/A,#N/A,FALSE,"2LOSSMOD";#N/A,#N/A,FALSE,"2LOSS";#N/A,#N/A,FALSE,"DSC";#N/A,#N/A,FALSE,"OPERAT";#N/A,#N/A,FALSE,"ADJUST";#N/A,#N/A,FALSE,"LEASE EXPIRE"}</definedName>
    <definedName name="IHMConsultant" hidden="1">#REF!</definedName>
    <definedName name="IHMFirstProjected" hidden="1">#REF!</definedName>
    <definedName name="IHMLastHistoric" hidden="1">#REF!</definedName>
    <definedName name="IHMLocation" hidden="1">#REF!</definedName>
    <definedName name="IHMModelVersion" hidden="1">#REF!</definedName>
    <definedName name="IHMNumRooms" hidden="1">#REF!</definedName>
    <definedName name="IHMPrintCF1" hidden="1">#REF!</definedName>
    <definedName name="IHMPrintMR1" hidden="1">#REF!</definedName>
    <definedName name="IHMPrintMR2" hidden="1">#REF!</definedName>
    <definedName name="IHMPrintPO1" hidden="1">#REF!</definedName>
    <definedName name="IHMPrintPO2" hidden="1">#REF!</definedName>
    <definedName name="IHMPrintPO3" hidden="1">#REF!</definedName>
    <definedName name="IHMPrintPR1" hidden="1">#REF!</definedName>
    <definedName name="IHMPrintVAL1" hidden="1">#REF!</definedName>
    <definedName name="IHMPrintVAL2" hidden="1">#REF!</definedName>
    <definedName name="IHMProjectCity" hidden="1">#REF!</definedName>
    <definedName name="IHMProjectName" hidden="1">#REF!</definedName>
    <definedName name="IHMProjectState" hidden="1">#REF!</definedName>
    <definedName name="IHMPropertyLocation" hidden="1">#REF!</definedName>
    <definedName name="IHMReviewer" hidden="1">#REF!</definedName>
    <definedName name="II.__TRANSACTION_SUMMARY">#REF!</definedName>
    <definedName name="II._KEY_TRANSACTIONAL_ISSUES_AND_WAIVERS">#REF!</definedName>
    <definedName name="III" hidden="1">{#N/A,#N/A,FALSE,"Sheet1"}</definedName>
    <definedName name="III._SOURCES___USES___FINANCING_OBJECTIVES">#REF!</definedName>
    <definedName name="IMF">#REF!</definedName>
    <definedName name="IMFChoice">#REF!</definedName>
    <definedName name="IMFDiscRate">#REF!</definedName>
    <definedName name="immediate" hidden="1">{"sheet a",#N/A,FALSE,"A";"2 9 casflow",#N/A,FALSE,"B"}</definedName>
    <definedName name="IMP">#REF!</definedName>
    <definedName name="INC_EXP_1">#REF!</definedName>
    <definedName name="INC_EXP_2">#REF!</definedName>
    <definedName name="Incentive">#REF!</definedName>
    <definedName name="IncentiveDisposition">#REF!</definedName>
    <definedName name="IncentiveFee">#REF!</definedName>
    <definedName name="IncentiveFee1">#REF!</definedName>
    <definedName name="IncentiveFee11">#REF!</definedName>
    <definedName name="Incentivetoggle">#REF!</definedName>
    <definedName name="Incl1">#REF!</definedName>
    <definedName name="Incl10">#REF!</definedName>
    <definedName name="Incl2">#REF!</definedName>
    <definedName name="Incl3">#REF!</definedName>
    <definedName name="Incl4">#REF!</definedName>
    <definedName name="Incl5">#REF!</definedName>
    <definedName name="Incl6">#REF!</definedName>
    <definedName name="Incl7">#REF!</definedName>
    <definedName name="Incl8">#REF!</definedName>
    <definedName name="Incl9">#REF!</definedName>
    <definedName name="inclusion_sf">#REF!</definedName>
    <definedName name="INCOME">#REF!</definedName>
    <definedName name="income2">#REF!</definedName>
    <definedName name="IncomeTaxes">#REF!</definedName>
    <definedName name="ind" hidden="1">#REF!</definedName>
    <definedName name="industrial">#REF!</definedName>
    <definedName name="IndustryGroup">#REF!</definedName>
    <definedName name="Inflate">#REF!</definedName>
    <definedName name="InflatedBase">#REF!</definedName>
    <definedName name="inflation">#REF!</definedName>
    <definedName name="INFO">#REF!</definedName>
    <definedName name="Info1">#REF!</definedName>
    <definedName name="Info10A">#REF!</definedName>
    <definedName name="Info10B">#REF!</definedName>
    <definedName name="Info2">#REF!</definedName>
    <definedName name="Info3">#REF!</definedName>
    <definedName name="Info4A">#REF!</definedName>
    <definedName name="Info4B">#REF!</definedName>
    <definedName name="Info5A">#REF!</definedName>
    <definedName name="Info5B">#REF!</definedName>
    <definedName name="Info6A">#REF!</definedName>
    <definedName name="Info6B">#REF!</definedName>
    <definedName name="Info7A">#REF!</definedName>
    <definedName name="Info7B">#REF!</definedName>
    <definedName name="Info8A">#REF!</definedName>
    <definedName name="Info8B">#REF!</definedName>
    <definedName name="Info9A">#REF!</definedName>
    <definedName name="Info9B">#REF!</definedName>
    <definedName name="InfoLabel1">#REF!</definedName>
    <definedName name="InfoLabel10">#REF!</definedName>
    <definedName name="InfoLabel2">#REF!</definedName>
    <definedName name="InfoLabel3">#REF!</definedName>
    <definedName name="InfoLabel4">#REF!</definedName>
    <definedName name="InfoLabel5">#REF!</definedName>
    <definedName name="InfoLabel6">#REF!</definedName>
    <definedName name="InfoLabel7">#REF!</definedName>
    <definedName name="InfoLabel8">#REF!</definedName>
    <definedName name="InfoLabel9">#REF!</definedName>
    <definedName name="init_draw">#REF!</definedName>
    <definedName name="InitialNetEquity">#REF!</definedName>
    <definedName name="initialyear">#REF!</definedName>
    <definedName name="INPUT">#REF!</definedName>
    <definedName name="INPUT1">#REF!</definedName>
    <definedName name="INPUT2">#REF!</definedName>
    <definedName name="INPUT3">#REF!</definedName>
    <definedName name="INS">#REF!</definedName>
    <definedName name="INSTRUCTIONS">#REF!</definedName>
    <definedName name="INSURANCE">#REF!</definedName>
    <definedName name="InsuranceExpense">#REF!</definedName>
    <definedName name="int">#REF!</definedName>
    <definedName name="int_cost_taxable_tail">#REF!</definedName>
    <definedName name="int_rate">#REF!</definedName>
    <definedName name="Int_rate_blended_1st_tranche">#REF!</definedName>
    <definedName name="Int_rate_blended_2nd_tranche">#REF!</definedName>
    <definedName name="Int_rate_blended_3rd_tranche">#REF!</definedName>
    <definedName name="Int_rate_invested">#REF!</definedName>
    <definedName name="IntangibleAssets">#REF!</definedName>
    <definedName name="INTBORDER">#REF!</definedName>
    <definedName name="intcont">#REF!</definedName>
    <definedName name="Interes">#REF!</definedName>
    <definedName name="interest">#REF!</definedName>
    <definedName name="INTEREST_1">#REF!</definedName>
    <definedName name="INTEREST_2">#REF!</definedName>
    <definedName name="INTEREST_3">#REF!</definedName>
    <definedName name="INTEREST_4">#REF!</definedName>
    <definedName name="INTEREST_5">#REF!</definedName>
    <definedName name="interest_construction_period">#REF!</definedName>
    <definedName name="Interest_Method">#REF!</definedName>
    <definedName name="Interest_Only">#REF!</definedName>
    <definedName name="interest_postconstruction">#REF!</definedName>
    <definedName name="Interest_Rate">#REF!</definedName>
    <definedName name="Interest_Rate_Invested">#REF!</definedName>
    <definedName name="Interest_reserve">#REF!</definedName>
    <definedName name="interest_stabilization">#REF!</definedName>
    <definedName name="INTEREST1">#REF!</definedName>
    <definedName name="INTEREST2">#REF!</definedName>
    <definedName name="INTEREST3">#REF!</definedName>
    <definedName name="InterestExpense">#REF!</definedName>
    <definedName name="InterestIncome">#REF!</definedName>
    <definedName name="InterestOnlyYears">#REF!</definedName>
    <definedName name="internal_growth">#REF!</definedName>
    <definedName name="Interstate" hidden="1">{"page1",#N/A,FALSE,"The Sheet!!";"page2",#N/A,FALSE,"The Sheet!!"}</definedName>
    <definedName name="INTRATE">#REF!</definedName>
    <definedName name="IntroPrintArea" hidden="1">#REF!</definedName>
    <definedName name="inv">#REF!</definedName>
    <definedName name="Inv1_Ownership">#REF!</definedName>
    <definedName name="Inv1Name">#REF!</definedName>
    <definedName name="Inv2Name">#REF!</definedName>
    <definedName name="Inventories">#REF!</definedName>
    <definedName name="inves" hidden="1">{"tableau a",#N/A,FALSE,"Feuil3";"tableau b",#N/A,FALSE,"Feuil3"}</definedName>
    <definedName name="inves." hidden="1">{"tableau a",#N/A,FALSE,"Feuil3";"tableau b",#N/A,FALSE,"Feuil3"}</definedName>
    <definedName name="invest." hidden="1">{"tableau a",#N/A,FALSE,"Feuil3";"tableau b",#N/A,FALSE,"Feuil3"}</definedName>
    <definedName name="Investment_Rate">#REF!</definedName>
    <definedName name="InvestmentsInUnconsolidatedAffiliates">#REF!</definedName>
    <definedName name="investor">#REF!</definedName>
    <definedName name="Investor_IRR">#REF!</definedName>
    <definedName name="Investor1">#REF!</definedName>
    <definedName name="Investor2">#REF!</definedName>
    <definedName name="investorcodes">#REF!</definedName>
    <definedName name="IQ_1_4_CONSTRUCTION_GROSS_LOANS_FFIEC" hidden="1">"c13402"</definedName>
    <definedName name="IQ_1_4_CONSTRUCTION_LL_REC_DOM_FFIEC" hidden="1">"c12899"</definedName>
    <definedName name="IQ_1_4_CONSTRUCTION_LOAN_COMMITMENTS_UNUSED_FFIEC" hidden="1">"c13244"</definedName>
    <definedName name="IQ_1_4_CONSTRUCTION_LOANS_DUE_30_89_FFIEC" hidden="1">"c13257"</definedName>
    <definedName name="IQ_1_4_CONSTRUCTION_LOANS_DUE_90_FFIEC" hidden="1">"c13285"</definedName>
    <definedName name="IQ_1_4_CONSTRUCTION_LOANS_NON_ACCRUAL_FFIEC" hidden="1">"c13311"</definedName>
    <definedName name="IQ_1_4_CONSTRUCTION_RISK_BASED_FFIEC" hidden="1">"c13423"</definedName>
    <definedName name="IQ_1_4_FAMILY_JUNIOR_LIENS_CHARGE_OFFS_FDIC" hidden="1">"c6605"</definedName>
    <definedName name="IQ_1_4_FAMILY_JUNIOR_LIENS_NET_CHARGE_OFFS_FDIC" hidden="1">"c6643"</definedName>
    <definedName name="IQ_1_4_FAMILY_JUNIOR_LIENS_RECOVERIES_FDIC" hidden="1">"c6624"</definedName>
    <definedName name="IQ_1_4_FAMILY_SENIOR_LIENS_CHARGE_OFFS_FDIC" hidden="1">"c6604"</definedName>
    <definedName name="IQ_1_4_FAMILY_SENIOR_LIENS_NET_CHARGE_OFFS_FDIC" hidden="1">"c6642"</definedName>
    <definedName name="IQ_1_4_FAMILY_SENIOR_LIENS_RECOVERIES_FDIC" hidden="1">"c6623"</definedName>
    <definedName name="IQ_1_4_HOME_EQUITY_NET_LOANS_FDIC" hidden="1">"c6441"</definedName>
    <definedName name="IQ_1_4_RESIDENTIAL_FIRST_LIENS_NET_LOANS_FDIC" hidden="1">"c6439"</definedName>
    <definedName name="IQ_1_4_RESIDENTIAL_JUNIOR_LIENS_NET_LOANS_FDIC" hidden="1">"c6440"</definedName>
    <definedName name="IQ_1_4_RESIDENTIAL_LOANS_FDIC" hidden="1">"c6310"</definedName>
    <definedName name="IQ_30YR_FIXED_MORTGAGE" hidden="1">"c6811"</definedName>
    <definedName name="IQ_30YR_FIXED_MORTGAGE_FC" hidden="1">"c7691"</definedName>
    <definedName name="IQ_30YR_FIXED_MORTGAGE_POP" hidden="1">"c7031"</definedName>
    <definedName name="IQ_30YR_FIXED_MORTGAGE_POP_FC" hidden="1">"c7911"</definedName>
    <definedName name="IQ_30YR_FIXED_MORTGAGE_YOY" hidden="1">"c7251"</definedName>
    <definedName name="IQ_30YR_FIXED_MORTGAGE_YOY_FC" hidden="1">"c8131"</definedName>
    <definedName name="IQ_ABS_AVAIL_SALE_FFIEC" hidden="1">"c12802"</definedName>
    <definedName name="IQ_ABS_FFIEC" hidden="1">"c12788"</definedName>
    <definedName name="IQ_ABS_INVEST_SECURITIES_FFIEC" hidden="1">"c13461"</definedName>
    <definedName name="IQ_ACCOUNT_CHANGE" hidden="1">"c1449"</definedName>
    <definedName name="IQ_ACCOUNTING_FFIEC" hidden="1">"c13054"</definedName>
    <definedName name="IQ_ACCOUNTING_STANDARD" hidden="1">"c4539"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RUED_INTEREST_RECEIVABLE_FFIEC" hidden="1">"c12842"</definedName>
    <definedName name="IQ_ACCT_RECV_10YR_ANN_CAGR" hidden="1">"c6159"</definedName>
    <definedName name="IQ_ACCT_RECV_10YR_ANN_GROWTH" hidden="1">"c1924"</definedName>
    <definedName name="IQ_ACCT_RECV_1YR_ANN_GROWTH" hidden="1">"c1919"</definedName>
    <definedName name="IQ_ACCT_RECV_2YR_ANN_CAGR" hidden="1">"c6155"</definedName>
    <definedName name="IQ_ACCT_RECV_2YR_ANN_GROWTH" hidden="1">"c1920"</definedName>
    <definedName name="IQ_ACCT_RECV_3YR_ANN_CAGR" hidden="1">"c6156"</definedName>
    <definedName name="IQ_ACCT_RECV_3YR_ANN_GROWTH" hidden="1">"c1921"</definedName>
    <definedName name="IQ_ACCT_RECV_5YR_ANN_CAGR" hidden="1">"c6157"</definedName>
    <definedName name="IQ_ACCT_RECV_5YR_ANN_GROWTH" hidden="1">"c1922"</definedName>
    <definedName name="IQ_ACCT_RECV_7YR_ANN_CAGR" hidden="1">"c6158"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RED_BY_REPORTING_BANK_FDIC" hidden="1">"c6535"</definedName>
    <definedName name="IQ_ACQUISITION_RE_ASSETS" hidden="1">"c1628"</definedName>
    <definedName name="IQ_ACTUAL_PRODUCTION_ALUM" hidden="1">"c9247"</definedName>
    <definedName name="IQ_ACTUAL_PRODUCTION_CATHODE_COP" hidden="1">"c9192"</definedName>
    <definedName name="IQ_ACTUAL_PRODUCTION_COAL" hidden="1">"c9821"</definedName>
    <definedName name="IQ_ACTUAL_PRODUCTION_COP" hidden="1">"c9191"</definedName>
    <definedName name="IQ_ACTUAL_PRODUCTION_DIAM" hidden="1">"c9671"</definedName>
    <definedName name="IQ_ACTUAL_PRODUCTION_GOLD" hidden="1">"c9032"</definedName>
    <definedName name="IQ_ACTUAL_PRODUCTION_IRON" hidden="1">"c9406"</definedName>
    <definedName name="IQ_ACTUAL_PRODUCTION_LEAD" hidden="1">"c9459"</definedName>
    <definedName name="IQ_ACTUAL_PRODUCTION_MANG" hidden="1">"c9512"</definedName>
    <definedName name="IQ_ACTUAL_PRODUCTION_MET_COAL" hidden="1">"c9761"</definedName>
    <definedName name="IQ_ACTUAL_PRODUCTION_MOLYB" hidden="1">"c9724"</definedName>
    <definedName name="IQ_ACTUAL_PRODUCTION_NICK" hidden="1">"c9300"</definedName>
    <definedName name="IQ_ACTUAL_PRODUCTION_PLAT" hidden="1">"c9138"</definedName>
    <definedName name="IQ_ACTUAL_PRODUCTION_SILVER" hidden="1">"c9085"</definedName>
    <definedName name="IQ_ACTUAL_PRODUCTION_STEAM" hidden="1">"c9791"</definedName>
    <definedName name="IQ_ACTUAL_PRODUCTION_TITAN" hidden="1">"c9565"</definedName>
    <definedName name="IQ_ACTUAL_PRODUCTION_URAN" hidden="1">"c9618"</definedName>
    <definedName name="IQ_ACTUAL_PRODUCTION_ZINC" hidden="1">"c9353"</definedName>
    <definedName name="IQ_AD" hidden="1">"c7"</definedName>
    <definedName name="IQ_ADD_PAID_IN" hidden="1">"c1344"</definedName>
    <definedName name="IQ_ADDIN" hidden="1">"AUTO"</definedName>
    <definedName name="IQ_ADDITIONAL_NON_INT_INC_FDIC" hidden="1">"c6574"</definedName>
    <definedName name="IQ_ADJ_AVG_BANK_ASSETS" hidden="1">"c2671"</definedName>
    <definedName name="IQ_ADJUSTABLE_RATE_LOANS_FDIC" hidden="1">"c6375"</definedName>
    <definedName name="IQ_ADJUSTED_NAV_COVERED" hidden="1">"c9963"</definedName>
    <definedName name="IQ_ADJUSTED_NAV_GROUP" hidden="1">"c9949"</definedName>
    <definedName name="IQ_ADMIN_RATIO" hidden="1">"c2784"</definedName>
    <definedName name="IQ_ADVERTISING" hidden="1">"c2246"</definedName>
    <definedName name="IQ_ADVERTISING_MARKETING" hidden="1">"c1566"</definedName>
    <definedName name="IQ_ADVERTISING_MARKETING_EXPENSES_FFIEC" hidden="1">"c13048"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" hidden="1">"c6195"</definedName>
    <definedName name="IQ_AE_REIT" hidden="1">"c13"</definedName>
    <definedName name="IQ_AE_UTI" hidden="1">"c14"</definedName>
    <definedName name="IQ_AFFO" hidden="1">"c8756"</definedName>
    <definedName name="IQ_AFFO_PER_SHARE_BASIC" hidden="1">"c8869"</definedName>
    <definedName name="IQ_AFFO_PER_SHARE_DILUTED" hidden="1">"c8870"</definedName>
    <definedName name="IQ_AFS_INVEST_SECURITIES_FFIEC" hidden="1">"c13456"</definedName>
    <definedName name="IQ_AFS_SECURITIES_TIER_1_FFIEC" hidden="1">"c13343"</definedName>
    <definedName name="IQ_AFTER_TAX_INCOME_FDIC" hidden="1">"c6583"</definedName>
    <definedName name="IQ_AGENCY" hidden="1">"c8960"</definedName>
    <definedName name="IQ_AGENCY_INVEST_SECURITIES_FFIEC" hidden="1">"c13458"</definedName>
    <definedName name="IQ_AGRICULTURAL_GROSS_LOANS_FFIEC" hidden="1">"c13413"</definedName>
    <definedName name="IQ_AGRICULTURAL_LOANS_FOREIGN_FFIEC" hidden="1">"c13481"</definedName>
    <definedName name="IQ_AGRICULTURAL_PRODUCTION_CHARGE_OFFS_FDIC" hidden="1">"c6597"</definedName>
    <definedName name="IQ_AGRICULTURAL_PRODUCTION_CHARGE_OFFS_LESS_THAN_300M_FDIC" hidden="1">"c6655"</definedName>
    <definedName name="IQ_AGRICULTURAL_PRODUCTION_NET_CHARGE_OFFS_FDIC" hidden="1">"c6635"</definedName>
    <definedName name="IQ_AGRICULTURAL_PRODUCTION_NET_CHARGE_OFFS_LESS_THAN_300M_FDIC" hidden="1">"c6657"</definedName>
    <definedName name="IQ_AGRICULTURAL_PRODUCTION_RECOVERIES_FDIC" hidden="1">"c6616"</definedName>
    <definedName name="IQ_AGRICULTURAL_PRODUCTION_RECOVERIES_LESS_THAN_300M_FDIC" hidden="1">"c6656"</definedName>
    <definedName name="IQ_AGRICULTURAL_RISK_BASED_FFIEC" hidden="1">"c13434"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AVG_PSGR_FARE" hidden="1">"c10029"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NUMBER_HRS_FLOWN" hidden="1">"c10037"</definedName>
    <definedName name="IQ_AIR_NUMBER_OPERATING_AIRCRAFT_AVG" hidden="1">"c10035"</definedName>
    <definedName name="IQ_AIR_NUMBER_TRIPS_FLOWN" hidden="1">"c10030"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EX_PER_ASK_EXCL_FUEL" hidden="1">"c10034"</definedName>
    <definedName name="IQ_AIR_OPEX_PER_ASM_EXCL_FUEL" hidden="1">"c10033"</definedName>
    <definedName name="IQ_AIR_OPTIONS" hidden="1">"c2837"</definedName>
    <definedName name="IQ_AIR_ORDERS" hidden="1">"c2836"</definedName>
    <definedName name="IQ_AIR_OWNED" hidden="1">"c2832"</definedName>
    <definedName name="IQ_AIR_PERCENTAGE_SALES_VIA_INTERNET" hidden="1">"c10036"</definedName>
    <definedName name="IQ_AIR_PSGR_HAUL_AVG_LENGTH_KM" hidden="1">"c10032"</definedName>
    <definedName name="IQ_AIR_PSGR_HAUL_AVG_LENGTH_MILES" hidden="1">"c10031"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_OTHER_LEASES_CHARGE_OFFS_FFIEC" hidden="1">"c13185"</definedName>
    <definedName name="IQ_ALL_OTHER_LEASES_RECOV_FFIEC" hidden="1">"c13207"</definedName>
    <definedName name="IQ_ALL_OTHER_LOANS_CHARGE_OFFS_FFIEC" hidden="1">"c13183"</definedName>
    <definedName name="IQ_ALL_OTHER_LOANS_RECOV_FFIEC" hidden="1">"c13205"</definedName>
    <definedName name="IQ_ALL_OTHER_TRADING_LIABILITIES_DOM_FFIEC" hidden="1">"c12942"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_LL_LOSSES_FFIEC" hidden="1">"c12810"</definedName>
    <definedName name="IQ_ALLOWABLE_T2_CAPITAL_FFIEC" hidden="1">"c13150"</definedName>
    <definedName name="IQ_ALLOWANCE_10YR_ANN_CAGR" hidden="1">"c6035"</definedName>
    <definedName name="IQ_ALLOWANCE_10YR_ANN_GROWTH" hidden="1">"c18"</definedName>
    <definedName name="IQ_ALLOWANCE_1YR_ANN_GROWTH" hidden="1">"c19"</definedName>
    <definedName name="IQ_ALLOWANCE_2YR_ANN_CAGR" hidden="1">"c6036"</definedName>
    <definedName name="IQ_ALLOWANCE_2YR_ANN_GROWTH" hidden="1">"c20"</definedName>
    <definedName name="IQ_ALLOWANCE_3YR_ANN_CAGR" hidden="1">"c6037"</definedName>
    <definedName name="IQ_ALLOWANCE_3YR_ANN_GROWTH" hidden="1">"c21"</definedName>
    <definedName name="IQ_ALLOWANCE_5YR_ANN_CAGR" hidden="1">"c6038"</definedName>
    <definedName name="IQ_ALLOWANCE_5YR_ANN_GROWTH" hidden="1">"c22"</definedName>
    <definedName name="IQ_ALLOWANCE_7YR_ANN_CAGR" hidden="1">"c6039"</definedName>
    <definedName name="IQ_ALLOWANCE_7YR_ANN_GROWTH" hidden="1">"c23"</definedName>
    <definedName name="IQ_ALLOWANCE_CHARGE_OFFS" hidden="1">"c24"</definedName>
    <definedName name="IQ_ALLOWANCE_CREDIT_LOSSES_OFF_BS_FFIEC" hidden="1">"c12871"</definedName>
    <definedName name="IQ_ALLOWANCE_LL_LOSSES_T2_FFIEC" hidden="1">"c13146"</definedName>
    <definedName name="IQ_ALLOWANCE_NON_PERF_LOANS" hidden="1">"c25"</definedName>
    <definedName name="IQ_ALLOWANCE_TOTAL_LOANS" hidden="1">"c26"</definedName>
    <definedName name="IQ_AMENDED_BALANCE_PREVIOUS_YR_FDIC" hidden="1">"c6499"</definedName>
    <definedName name="IQ_AMORT_EXP_IMPAIRMENT_OTHER_INTANGIBLE_ASSETS_FFIEC" hidden="1">"c13026"</definedName>
    <definedName name="IQ_AMORT_EXPENSE_FDIC" hidden="1">"c6677"</definedName>
    <definedName name="IQ_AMORTIZATION" hidden="1">"c1591"</definedName>
    <definedName name="IQ_AMORTIZED_COST_FDIC" hidden="1">"c6426"</definedName>
    <definedName name="IQ_AMOUNT_FINANCIAL_LOC_CONVEYED_FFIEC" hidden="1">"c13250"</definedName>
    <definedName name="IQ_AMOUNT_PERFORMANCE_LOC_CONVEYED_FFIEC" hidden="1">"c13252"</definedName>
    <definedName name="IQ_AMT_OUT" hidden="1">"c2145"</definedName>
    <definedName name="IQ_ANNU_DISTRIBUTION_UNIT" hidden="1">"c3004"</definedName>
    <definedName name="IQ_ANNUAL_PREMIUM_EQUIVALENT_NEW_BUSINESS" hidden="1">"c9972"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NNUITY_SALES_FEES_COMMISSIONS_FFIEC" hidden="1">"c13007"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" hidden="1">"c6196"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" hidden="1">"c6197"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BACKED_FDIC" hidden="1">"c6301"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" hidden="1">"c6198"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" hidden="1">"c6199"</definedName>
    <definedName name="IQ_ASSET_WRITEDOWN_REIT" hidden="1">"c60"</definedName>
    <definedName name="IQ_ASSET_WRITEDOWN_UTI" hidden="1">"c61"</definedName>
    <definedName name="IQ_ASSETS_AP" hidden="1">"c8883"</definedName>
    <definedName name="IQ_ASSETS_AP_ABS" hidden="1">"c8902"</definedName>
    <definedName name="IQ_ASSETS_CAP_LEASE_DEPR" hidden="1">"c2068"</definedName>
    <definedName name="IQ_ASSETS_CAP_LEASE_GROSS" hidden="1">"c2069"</definedName>
    <definedName name="IQ_ASSETS_HELD_FDIC" hidden="1">"c6305"</definedName>
    <definedName name="IQ_ASSETS_NAME_AP" hidden="1">"c8921"</definedName>
    <definedName name="IQ_ASSETS_NAME_AP_ABS" hidden="1">"c8940"</definedName>
    <definedName name="IQ_ASSETS_OPER_LEASE_DEPR" hidden="1">"c2070"</definedName>
    <definedName name="IQ_ASSETS_OPER_LEASE_GROSS" hidden="1">"c2071"</definedName>
    <definedName name="IQ_ASSETS_PER_EMPLOYEE_FDIC" hidden="1">"c6737"</definedName>
    <definedName name="IQ_ASSETS_REPRICE_ASSETS_TOT_FFIEC" hidden="1">"c13454"</definedName>
    <definedName name="IQ_ASSETS_SOLD_1_4_FAMILY_LOANS_FDIC" hidden="1">"c6686"</definedName>
    <definedName name="IQ_ASSETS_SOLD_AUTO_LOANS_FDIC" hidden="1">"c6680"</definedName>
    <definedName name="IQ_ASSETS_SOLD_CL_LOANS_FDIC" hidden="1">"c6681"</definedName>
    <definedName name="IQ_ASSETS_SOLD_CREDIT_CARDS_RECEIVABLES_FDIC" hidden="1">"c6683"</definedName>
    <definedName name="IQ_ASSETS_SOLD_HOME_EQUITY_LINES_FDIC" hidden="1">"c6684"</definedName>
    <definedName name="IQ_ASSETS_SOLD_OTHER_CONSUMER_LOANS_FDIC" hidden="1">"c6682"</definedName>
    <definedName name="IQ_ASSETS_SOLD_OTHER_LOANS_FDIC" hidden="1">"c6685"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TM_FEES_FFIEC" hidden="1">"c13042"</definedName>
    <definedName name="IQ_ATM_INTERCHANGE_EXPENSES_FFIEC" hidden="1">"c13056"</definedName>
    <definedName name="IQ_AUDITOR_NAME" hidden="1">"c1539"</definedName>
    <definedName name="IQ_AUDITOR_OPINION" hidden="1">"c1540"</definedName>
    <definedName name="IQ_AUM" hidden="1">"c10043"</definedName>
    <definedName name="IQ_AUM_EQUITY_FUNDS" hidden="1">"c10039"</definedName>
    <definedName name="IQ_AUM_FIXED_INCOME_FUNDS" hidden="1">"c10040"</definedName>
    <definedName name="IQ_AUM_MONEY_MARKET_FUNDS" hidden="1">"c10041"</definedName>
    <definedName name="IQ_AUM_OTHER" hidden="1">"c10042"</definedName>
    <definedName name="IQ_AUTO_REGIST_NEW" hidden="1">"c6923"</definedName>
    <definedName name="IQ_AUTO_REGIST_NEW_APR" hidden="1">"c7583"</definedName>
    <definedName name="IQ_AUTO_REGIST_NEW_APR_FC" hidden="1">"c8463"</definedName>
    <definedName name="IQ_AUTO_REGIST_NEW_FC" hidden="1">"c7803"</definedName>
    <definedName name="IQ_AUTO_REGIST_NEW_POP" hidden="1">"c7143"</definedName>
    <definedName name="IQ_AUTO_REGIST_NEW_POP_FC" hidden="1">"c8023"</definedName>
    <definedName name="IQ_AUTO_REGIST_NEW_YOY" hidden="1">"c7363"</definedName>
    <definedName name="IQ_AUTO_REGIST_NEW_YOY_FC" hidden="1">"c8243"</definedName>
    <definedName name="IQ_AUTO_SALES_DOM" hidden="1">"c6852"</definedName>
    <definedName name="IQ_AUTO_SALES_DOM_APR" hidden="1">"c7512"</definedName>
    <definedName name="IQ_AUTO_SALES_DOM_APR_FC" hidden="1">"c8392"</definedName>
    <definedName name="IQ_AUTO_SALES_DOM_FC" hidden="1">"c7732"</definedName>
    <definedName name="IQ_AUTO_SALES_DOM_POP" hidden="1">"c7072"</definedName>
    <definedName name="IQ_AUTO_SALES_DOM_POP_FC" hidden="1">"c7952"</definedName>
    <definedName name="IQ_AUTO_SALES_DOM_YOY" hidden="1">"c7292"</definedName>
    <definedName name="IQ_AUTO_SALES_DOM_YOY_FC" hidden="1">"c8172"</definedName>
    <definedName name="IQ_AUTO_SALES_FOREIGN" hidden="1">"c6873"</definedName>
    <definedName name="IQ_AUTO_SALES_FOREIGN_APR" hidden="1">"c7533"</definedName>
    <definedName name="IQ_AUTO_SALES_FOREIGN_APR_FC" hidden="1">"c8413"</definedName>
    <definedName name="IQ_AUTO_SALES_FOREIGN_FC" hidden="1">"c7753"</definedName>
    <definedName name="IQ_AUTO_SALES_FOREIGN_POP" hidden="1">"c7093"</definedName>
    <definedName name="IQ_AUTO_SALES_FOREIGN_POP_FC" hidden="1">"c7973"</definedName>
    <definedName name="IQ_AUTO_SALES_FOREIGN_YOY" hidden="1">"c7313"</definedName>
    <definedName name="IQ_AUTO_SALES_FOREIGN_YOY_FC" hidden="1">"c8193"</definedName>
    <definedName name="IQ_AUTO_WRITTEN" hidden="1">"c62"</definedName>
    <definedName name="IQ_AVAILABLE_FOR_SALE_FDIC" hidden="1">"c6409"</definedName>
    <definedName name="IQ_AVAILABLE_SALE_SEC_FFIEC" hidden="1">"c12791"</definedName>
    <definedName name="IQ_AVERAGE_ASSETS_FDIC" hidden="1">"c6362"</definedName>
    <definedName name="IQ_AVERAGE_ASSETS_QUART_FDIC" hidden="1">"c6363"</definedName>
    <definedName name="IQ_AVERAGE_EARNING_ASSETS_FDIC" hidden="1">"c6748"</definedName>
    <definedName name="IQ_AVERAGE_EQUITY_FDIC" hidden="1">"c6749"</definedName>
    <definedName name="IQ_AVERAGE_LOANS_FDIC" hidden="1">"c6750"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CIQ" hidden="1">"c3612"</definedName>
    <definedName name="IQ_AVG_BROKER_REC_NO" hidden="1">"c64"</definedName>
    <definedName name="IQ_AVG_BROKER_REC_NO_CIQ" hidden="1">"c4657"</definedName>
    <definedName name="IQ_AVG_BROKER_REC_NO_REUT" hidden="1">"c5315"</definedName>
    <definedName name="IQ_AVG_BROKER_REC_REUT" hidden="1">"c3630"</definedName>
    <definedName name="IQ_AVG_CALORIFIC_VALUE_COAL" hidden="1">"c9828"</definedName>
    <definedName name="IQ_AVG_CALORIFIC_VALUE_MET_COAL" hidden="1">"c9764"</definedName>
    <definedName name="IQ_AVG_CALORIFIC_VALUE_STEAM" hidden="1">"c9794"</definedName>
    <definedName name="IQ_AVG_DAILY_VOL" hidden="1">"c65"</definedName>
    <definedName name="IQ_AVG_EMPLOYEES" hidden="1">"c6019"</definedName>
    <definedName name="IQ_AVG_GRADE_ALUM" hidden="1">"c9254"</definedName>
    <definedName name="IQ_AVG_GRADE_COP" hidden="1">"c9201"</definedName>
    <definedName name="IQ_AVG_GRADE_DIAM" hidden="1">"c9678"</definedName>
    <definedName name="IQ_AVG_GRADE_GOLD" hidden="1">"c9039"</definedName>
    <definedName name="IQ_AVG_GRADE_IRON" hidden="1">"c9413"</definedName>
    <definedName name="IQ_AVG_GRADE_LEAD" hidden="1">"c9466"</definedName>
    <definedName name="IQ_AVG_GRADE_MANG" hidden="1">"c9519"</definedName>
    <definedName name="IQ_AVG_GRADE_MOLYB" hidden="1">"c9731"</definedName>
    <definedName name="IQ_AVG_GRADE_NICK" hidden="1">"c9307"</definedName>
    <definedName name="IQ_AVG_GRADE_PLAT" hidden="1">"c9145"</definedName>
    <definedName name="IQ_AVG_GRADE_SILVER" hidden="1">"c9092"</definedName>
    <definedName name="IQ_AVG_GRADE_TITAN" hidden="1">"c9572"</definedName>
    <definedName name="IQ_AVG_GRADE_URAN" hidden="1">"c9625"</definedName>
    <definedName name="IQ_AVG_GRADE_ZINC" hidden="1">"c9360"</definedName>
    <definedName name="IQ_AVG_INDUSTRY_REC" hidden="1">"c4455"</definedName>
    <definedName name="IQ_AVG_INDUSTRY_REC_CIQ" hidden="1">"c4984"</definedName>
    <definedName name="IQ_AVG_INDUSTRY_REC_NO" hidden="1">"c4454"</definedName>
    <definedName name="IQ_AVG_INT_BEAR_LIAB" hidden="1">"c66"</definedName>
    <definedName name="IQ_AVG_INT_BEAR_LIAB_10YR_ANN_CAGR" hidden="1">"c6040"</definedName>
    <definedName name="IQ_AVG_INT_BEAR_LIAB_10YR_ANN_GROWTH" hidden="1">"c67"</definedName>
    <definedName name="IQ_AVG_INT_BEAR_LIAB_1YR_ANN_GROWTH" hidden="1">"c68"</definedName>
    <definedName name="IQ_AVG_INT_BEAR_LIAB_2YR_ANN_CAGR" hidden="1">"c6041"</definedName>
    <definedName name="IQ_AVG_INT_BEAR_LIAB_2YR_ANN_GROWTH" hidden="1">"c69"</definedName>
    <definedName name="IQ_AVG_INT_BEAR_LIAB_3YR_ANN_CAGR" hidden="1">"c6042"</definedName>
    <definedName name="IQ_AVG_INT_BEAR_LIAB_3YR_ANN_GROWTH" hidden="1">"c70"</definedName>
    <definedName name="IQ_AVG_INT_BEAR_LIAB_5YR_ANN_CAGR" hidden="1">"c6043"</definedName>
    <definedName name="IQ_AVG_INT_BEAR_LIAB_5YR_ANN_GROWTH" hidden="1">"c71"</definedName>
    <definedName name="IQ_AVG_INT_BEAR_LIAB_7YR_ANN_CAGR" hidden="1">"c6044"</definedName>
    <definedName name="IQ_AVG_INT_BEAR_LIAB_7YR_ANN_GROWTH" hidden="1">"c72"</definedName>
    <definedName name="IQ_AVG_INT_EARN_ASSETS" hidden="1">"c73"</definedName>
    <definedName name="IQ_AVG_INT_EARN_ASSETS_10YR_ANN_CAGR" hidden="1">"c6045"</definedName>
    <definedName name="IQ_AVG_INT_EARN_ASSETS_10YR_ANN_GROWTH" hidden="1">"c74"</definedName>
    <definedName name="IQ_AVG_INT_EARN_ASSETS_1YR_ANN_GROWTH" hidden="1">"c75"</definedName>
    <definedName name="IQ_AVG_INT_EARN_ASSETS_2YR_ANN_CAGR" hidden="1">"c6046"</definedName>
    <definedName name="IQ_AVG_INT_EARN_ASSETS_2YR_ANN_GROWTH" hidden="1">"c76"</definedName>
    <definedName name="IQ_AVG_INT_EARN_ASSETS_3YR_ANN_CAGR" hidden="1">"c6047"</definedName>
    <definedName name="IQ_AVG_INT_EARN_ASSETS_3YR_ANN_GROWTH" hidden="1">"c77"</definedName>
    <definedName name="IQ_AVG_INT_EARN_ASSETS_5YR_ANN_CAGR" hidden="1">"c6048"</definedName>
    <definedName name="IQ_AVG_INT_EARN_ASSETS_5YR_ANN_GROWTH" hidden="1">"c78"</definedName>
    <definedName name="IQ_AVG_INT_EARN_ASSETS_7YR_ANN_CAGR" hidden="1">"c6049"</definedName>
    <definedName name="IQ_AVG_INT_EARN_ASSETS_7YR_ANN_GROWTH" hidden="1">"c79"</definedName>
    <definedName name="IQ_AVG_MKTCAP" hidden="1">"c80"</definedName>
    <definedName name="IQ_AVG_PRICE" hidden="1">"c81"</definedName>
    <definedName name="IQ_AVG_PRICE_TARGET" hidden="1">"c82"</definedName>
    <definedName name="IQ_AVG_PRODUCTION_PER_MINE_ALUM" hidden="1">"c9249"</definedName>
    <definedName name="IQ_AVG_PRODUCTION_PER_MINE_COAL" hidden="1">"c9823"</definedName>
    <definedName name="IQ_AVG_PRODUCTION_PER_MINE_COP" hidden="1">"c9194"</definedName>
    <definedName name="IQ_AVG_PRODUCTION_PER_MINE_DIAM" hidden="1">"c9673"</definedName>
    <definedName name="IQ_AVG_PRODUCTION_PER_MINE_GOLD" hidden="1">"c9034"</definedName>
    <definedName name="IQ_AVG_PRODUCTION_PER_MINE_IRON" hidden="1">"c9408"</definedName>
    <definedName name="IQ_AVG_PRODUCTION_PER_MINE_LEAD" hidden="1">"c9461"</definedName>
    <definedName name="IQ_AVG_PRODUCTION_PER_MINE_MANG" hidden="1">"c9514"</definedName>
    <definedName name="IQ_AVG_PRODUCTION_PER_MINE_MOLYB" hidden="1">"c9726"</definedName>
    <definedName name="IQ_AVG_PRODUCTION_PER_MINE_NICK" hidden="1">"c9302"</definedName>
    <definedName name="IQ_AVG_PRODUCTION_PER_MINE_PLAT" hidden="1">"c9140"</definedName>
    <definedName name="IQ_AVG_PRODUCTION_PER_MINE_SILVER" hidden="1">"c9087"</definedName>
    <definedName name="IQ_AVG_PRODUCTION_PER_MINE_TITAN" hidden="1">"c9567"</definedName>
    <definedName name="IQ_AVG_PRODUCTION_PER_MINE_URAN" hidden="1">"c9620"</definedName>
    <definedName name="IQ_AVG_PRODUCTION_PER_MINE_ZINC" hidden="1">"c9355"</definedName>
    <definedName name="IQ_AVG_REAL_PRICE_POST_TREAT_REFINING_ALUM" hidden="1">"c9259"</definedName>
    <definedName name="IQ_AVG_REAL_PRICE_POST_TREAT_REFINING_COP" hidden="1">"c9206"</definedName>
    <definedName name="IQ_AVG_REAL_PRICE_POST_TREAT_REFINING_DIAM" hidden="1">"c9683"</definedName>
    <definedName name="IQ_AVG_REAL_PRICE_POST_TREAT_REFINING_GOLD" hidden="1">"c9044"</definedName>
    <definedName name="IQ_AVG_REAL_PRICE_POST_TREAT_REFINING_IRON" hidden="1">"c9418"</definedName>
    <definedName name="IQ_AVG_REAL_PRICE_POST_TREAT_REFINING_LEAD" hidden="1">"c9471"</definedName>
    <definedName name="IQ_AVG_REAL_PRICE_POST_TREAT_REFINING_MANG" hidden="1">"c9524"</definedName>
    <definedName name="IQ_AVG_REAL_PRICE_POST_TREAT_REFINING_MOLYB" hidden="1">"c9736"</definedName>
    <definedName name="IQ_AVG_REAL_PRICE_POST_TREAT_REFINING_NICK" hidden="1">"c9311"</definedName>
    <definedName name="IQ_AVG_REAL_PRICE_POST_TREAT_REFINING_PLAT" hidden="1">"c9150"</definedName>
    <definedName name="IQ_AVG_REAL_PRICE_POST_TREAT_REFINING_SILVER" hidden="1">"c9097"</definedName>
    <definedName name="IQ_AVG_REAL_PRICE_POST_TREAT_REFINING_TITAN" hidden="1">"c9577"</definedName>
    <definedName name="IQ_AVG_REAL_PRICE_POST_TREAT_REFINING_URAN" hidden="1">"c9630"</definedName>
    <definedName name="IQ_AVG_REAL_PRICE_POST_TREAT_REFINING_ZINC" hidden="1">"c9365"</definedName>
    <definedName name="IQ_AVG_REAL_PRICE_PRE_TREAT_REFINING_ALUM" hidden="1">"c9258"</definedName>
    <definedName name="IQ_AVG_REAL_PRICE_PRE_TREAT_REFINING_COP" hidden="1">"c9205"</definedName>
    <definedName name="IQ_AVG_REAL_PRICE_PRE_TREAT_REFINING_DIAM" hidden="1">"c9682"</definedName>
    <definedName name="IQ_AVG_REAL_PRICE_PRE_TREAT_REFINING_GOLD" hidden="1">"c9043"</definedName>
    <definedName name="IQ_AVG_REAL_PRICE_PRE_TREAT_REFINING_IRON" hidden="1">"c9417"</definedName>
    <definedName name="IQ_AVG_REAL_PRICE_PRE_TREAT_REFINING_LEAD" hidden="1">"c9470"</definedName>
    <definedName name="IQ_AVG_REAL_PRICE_PRE_TREAT_REFINING_MANG" hidden="1">"c9523"</definedName>
    <definedName name="IQ_AVG_REAL_PRICE_PRE_TREAT_REFINING_MOLYB" hidden="1">"c9735"</definedName>
    <definedName name="IQ_AVG_REAL_PRICE_PRE_TREAT_REFINING_NICK" hidden="1">"c9312"</definedName>
    <definedName name="IQ_AVG_REAL_PRICE_PRE_TREAT_REFINING_PLAT" hidden="1">"c9149"</definedName>
    <definedName name="IQ_AVG_REAL_PRICE_PRE_TREAT_REFINING_SILVER" hidden="1">"c9096"</definedName>
    <definedName name="IQ_AVG_REAL_PRICE_PRE_TREAT_REFINING_TITAN" hidden="1">"c9576"</definedName>
    <definedName name="IQ_AVG_REAL_PRICE_PRE_TREAT_REFINING_URAN" hidden="1">"c9629"</definedName>
    <definedName name="IQ_AVG_REAL_PRICE_PRE_TREAT_REFINING_ZINC" hidden="1">"c9364"</definedName>
    <definedName name="IQ_AVG_REALIZED_PRICE_AFTER_HEDGING_ALUM" hidden="1">"c9257"</definedName>
    <definedName name="IQ_AVG_REALIZED_PRICE_AFTER_HEDGING_COAL" hidden="1">"c9830"</definedName>
    <definedName name="IQ_AVG_REALIZED_PRICE_AFTER_HEDGING_COP" hidden="1">"c9204"</definedName>
    <definedName name="IQ_AVG_REALIZED_PRICE_AFTER_HEDGING_DIAM" hidden="1">"c9681"</definedName>
    <definedName name="IQ_AVG_REALIZED_PRICE_AFTER_HEDGING_GOLD" hidden="1">"c9042"</definedName>
    <definedName name="IQ_AVG_REALIZED_PRICE_AFTER_HEDGING_IRON" hidden="1">"c9416"</definedName>
    <definedName name="IQ_AVG_REALIZED_PRICE_AFTER_HEDGING_LEAD" hidden="1">"c9469"</definedName>
    <definedName name="IQ_AVG_REALIZED_PRICE_AFTER_HEDGING_MANG" hidden="1">"c9522"</definedName>
    <definedName name="IQ_AVG_REALIZED_PRICE_AFTER_HEDGING_MET_COAL" hidden="1">"c9766"</definedName>
    <definedName name="IQ_AVG_REALIZED_PRICE_AFTER_HEDGING_MOLYB" hidden="1">"c9734"</definedName>
    <definedName name="IQ_AVG_REALIZED_PRICE_AFTER_HEDGING_NICK" hidden="1">"c9310"</definedName>
    <definedName name="IQ_AVG_REALIZED_PRICE_AFTER_HEDGING_PLAT" hidden="1">"c9148"</definedName>
    <definedName name="IQ_AVG_REALIZED_PRICE_AFTER_HEDGING_SILVER" hidden="1">"c9095"</definedName>
    <definedName name="IQ_AVG_REALIZED_PRICE_AFTER_HEDGING_STEAM" hidden="1">"c9796"</definedName>
    <definedName name="IQ_AVG_REALIZED_PRICE_AFTER_HEDGING_TITAN" hidden="1">"c9575"</definedName>
    <definedName name="IQ_AVG_REALIZED_PRICE_AFTER_HEDGING_URAN" hidden="1">"c9628"</definedName>
    <definedName name="IQ_AVG_REALIZED_PRICE_AFTER_HEDGING_ZINC" hidden="1">"c9363"</definedName>
    <definedName name="IQ_AVG_REALIZED_PRICE_BEFORE_HEDGING_ALUM" hidden="1">"c9256"</definedName>
    <definedName name="IQ_AVG_REALIZED_PRICE_BEFORE_HEDGING_COAL" hidden="1">"c9829"</definedName>
    <definedName name="IQ_AVG_REALIZED_PRICE_BEFORE_HEDGING_COP" hidden="1">"c9203"</definedName>
    <definedName name="IQ_AVG_REALIZED_PRICE_BEFORE_HEDGING_DIAM" hidden="1">"c9680"</definedName>
    <definedName name="IQ_AVG_REALIZED_PRICE_BEFORE_HEDGING_GOLD" hidden="1">"c9041"</definedName>
    <definedName name="IQ_AVG_REALIZED_PRICE_BEFORE_HEDGING_IRON" hidden="1">"c9415"</definedName>
    <definedName name="IQ_AVG_REALIZED_PRICE_BEFORE_HEDGING_LEAD" hidden="1">"c9468"</definedName>
    <definedName name="IQ_AVG_REALIZED_PRICE_BEFORE_HEDGING_MANG" hidden="1">"c9521"</definedName>
    <definedName name="IQ_AVG_REALIZED_PRICE_BEFORE_HEDGING_MET_COAL" hidden="1">"c9765"</definedName>
    <definedName name="IQ_AVG_REALIZED_PRICE_BEFORE_HEDGING_MOLYB" hidden="1">"c9733"</definedName>
    <definedName name="IQ_AVG_REALIZED_PRICE_BEFORE_HEDGING_NICK" hidden="1">"c9309"</definedName>
    <definedName name="IQ_AVG_REALIZED_PRICE_BEFORE_HEDGING_PLAT" hidden="1">"c9147"</definedName>
    <definedName name="IQ_AVG_REALIZED_PRICE_BEFORE_HEDGING_SILVER" hidden="1">"c9094"</definedName>
    <definedName name="IQ_AVG_REALIZED_PRICE_BEFORE_HEDGING_STEAM" hidden="1">"c9795"</definedName>
    <definedName name="IQ_AVG_REALIZED_PRICE_BEFORE_HEDGING_TITAN" hidden="1">"c9574"</definedName>
    <definedName name="IQ_AVG_REALIZED_PRICE_BEFORE_HEDGING_URAN" hidden="1">"c9627"</definedName>
    <definedName name="IQ_AVG_REALIZED_PRICE_BEFORE_HEDGING_ZINC" hidden="1">"c9362"</definedName>
    <definedName name="IQ_AVG_SHAREOUTSTANDING" hidden="1">"c83"</definedName>
    <definedName name="IQ_AVG_TEMP_EMPLOYEES" hidden="1">"c6020"</definedName>
    <definedName name="IQ_AVG_TEV" hidden="1">"c84"</definedName>
    <definedName name="IQ_AVG_TOTAL_ASSETS_LEVERAGE_CAPITAL_FFIEC" hidden="1">"c13159"</definedName>
    <definedName name="IQ_AVG_TOTAL_ASSETS_LEVERAGE_RATIO_FFIEC" hidden="1">"c13154"</definedName>
    <definedName name="IQ_AVG_VOLUME" hidden="1">"c1346"</definedName>
    <definedName name="IQ_AVG_WAGES" hidden="1">"c6812"</definedName>
    <definedName name="IQ_AVG_WAGES_APR" hidden="1">"c7472"</definedName>
    <definedName name="IQ_AVG_WAGES_APR_FC" hidden="1">"c8352"</definedName>
    <definedName name="IQ_AVG_WAGES_FC" hidden="1">"c7692"</definedName>
    <definedName name="IQ_AVG_WAGES_POP" hidden="1">"c7032"</definedName>
    <definedName name="IQ_AVG_WAGES_POP_FC" hidden="1">"c7912"</definedName>
    <definedName name="IQ_AVG_WAGES_YOY" hidden="1">"c7252"</definedName>
    <definedName name="IQ_AVG_WAGES_YOY_FC" hidden="1">"c8132"</definedName>
    <definedName name="IQ_BALANCE_GOODS_APR_FC_UNUSED" hidden="1">"c8353"</definedName>
    <definedName name="IQ_BALANCE_GOODS_APR_FC_UNUSED_UNUSED_UNUSED" hidden="1">"c8353"</definedName>
    <definedName name="IQ_BALANCE_GOODS_APR_UNUSED" hidden="1">"c7473"</definedName>
    <definedName name="IQ_BALANCE_GOODS_APR_UNUSED_UNUSED_UNUSED" hidden="1">"c7473"</definedName>
    <definedName name="IQ_BALANCE_GOODS_FC_UNUSED" hidden="1">"c7693"</definedName>
    <definedName name="IQ_BALANCE_GOODS_FC_UNUSED_UNUSED_UNUSED" hidden="1">"c7693"</definedName>
    <definedName name="IQ_BALANCE_GOODS_POP_FC_UNUSED" hidden="1">"c7913"</definedName>
    <definedName name="IQ_BALANCE_GOODS_POP_FC_UNUSED_UNUSED_UNUSED" hidden="1">"c7913"</definedName>
    <definedName name="IQ_BALANCE_GOODS_POP_UNUSED" hidden="1">"c7033"</definedName>
    <definedName name="IQ_BALANCE_GOODS_POP_UNUSED_UNUSED_UNUSED" hidden="1">"c7033"</definedName>
    <definedName name="IQ_BALANCE_GOODS_REAL" hidden="1">"c6952"</definedName>
    <definedName name="IQ_BALANCE_GOODS_REAL_APR" hidden="1">"c7612"</definedName>
    <definedName name="IQ_BALANCE_GOODS_REAL_APR_FC" hidden="1">"c8492"</definedName>
    <definedName name="IQ_BALANCE_GOODS_REAL_FC" hidden="1">"c7832"</definedName>
    <definedName name="IQ_BALANCE_GOODS_REAL_POP" hidden="1">"c7172"</definedName>
    <definedName name="IQ_BALANCE_GOODS_REAL_POP_FC" hidden="1">"c8052"</definedName>
    <definedName name="IQ_BALANCE_GOODS_REAL_SAAR" hidden="1">"c6953"</definedName>
    <definedName name="IQ_BALANCE_GOODS_REAL_SAAR_APR" hidden="1">"c7613"</definedName>
    <definedName name="IQ_BALANCE_GOODS_REAL_SAAR_APR_FC" hidden="1">"c8493"</definedName>
    <definedName name="IQ_BALANCE_GOODS_REAL_SAAR_FC" hidden="1">"c7833"</definedName>
    <definedName name="IQ_BALANCE_GOODS_REAL_SAAR_POP" hidden="1">"c7173"</definedName>
    <definedName name="IQ_BALANCE_GOODS_REAL_SAAR_POP_FC" hidden="1">"c8053"</definedName>
    <definedName name="IQ_BALANCE_GOODS_REAL_SAAR_USD_APR_FC" hidden="1">"c11893"</definedName>
    <definedName name="IQ_BALANCE_GOODS_REAL_SAAR_USD_FC" hidden="1">"c11890"</definedName>
    <definedName name="IQ_BALANCE_GOODS_REAL_SAAR_USD_POP_FC" hidden="1">"c11891"</definedName>
    <definedName name="IQ_BALANCE_GOODS_REAL_SAAR_USD_YOY_FC" hidden="1">"c11892"</definedName>
    <definedName name="IQ_BALANCE_GOODS_REAL_SAAR_YOY" hidden="1">"c7393"</definedName>
    <definedName name="IQ_BALANCE_GOODS_REAL_SAAR_YOY_FC" hidden="1">"c8273"</definedName>
    <definedName name="IQ_BALANCE_GOODS_REAL_USD_APR_FC" hidden="1">"c11889"</definedName>
    <definedName name="IQ_BALANCE_GOODS_REAL_USD_FC" hidden="1">"c11886"</definedName>
    <definedName name="IQ_BALANCE_GOODS_REAL_USD_POP_FC" hidden="1">"c11887"</definedName>
    <definedName name="IQ_BALANCE_GOODS_REAL_USD_YOY_FC" hidden="1">"c11888"</definedName>
    <definedName name="IQ_BALANCE_GOODS_REAL_YOY" hidden="1">"c7392"</definedName>
    <definedName name="IQ_BALANCE_GOODS_REAL_YOY_FC" hidden="1">"c8272"</definedName>
    <definedName name="IQ_BALANCE_GOODS_SAAR" hidden="1">"c6814"</definedName>
    <definedName name="IQ_BALANCE_GOODS_SAAR_APR" hidden="1">"c7474"</definedName>
    <definedName name="IQ_BALANCE_GOODS_SAAR_APR_FC" hidden="1">"c8354"</definedName>
    <definedName name="IQ_BALANCE_GOODS_SAAR_FC" hidden="1">"c7694"</definedName>
    <definedName name="IQ_BALANCE_GOODS_SAAR_POP" hidden="1">"c7034"</definedName>
    <definedName name="IQ_BALANCE_GOODS_SAAR_POP_FC" hidden="1">"c7914"</definedName>
    <definedName name="IQ_BALANCE_GOODS_SAAR_USD_APR_FC" hidden="1">"c11762"</definedName>
    <definedName name="IQ_BALANCE_GOODS_SAAR_USD_FC" hidden="1">"c11759"</definedName>
    <definedName name="IQ_BALANCE_GOODS_SAAR_USD_POP_FC" hidden="1">"c11760"</definedName>
    <definedName name="IQ_BALANCE_GOODS_SAAR_USD_YOY_FC" hidden="1">"c11761"</definedName>
    <definedName name="IQ_BALANCE_GOODS_SAAR_YOY" hidden="1">"c7254"</definedName>
    <definedName name="IQ_BALANCE_GOODS_SAAR_YOY_FC" hidden="1">"c8134"</definedName>
    <definedName name="IQ_BALANCE_GOODS_UNUSED" hidden="1">"c6813"</definedName>
    <definedName name="IQ_BALANCE_GOODS_UNUSED_UNUSED_UNUSED" hidden="1">"c6813"</definedName>
    <definedName name="IQ_BALANCE_GOODS_USD_APR_FC" hidden="1">"c11758"</definedName>
    <definedName name="IQ_BALANCE_GOODS_USD_FC" hidden="1">"c11755"</definedName>
    <definedName name="IQ_BALANCE_GOODS_USD_POP_FC" hidden="1">"c11756"</definedName>
    <definedName name="IQ_BALANCE_GOODS_USD_YOY_FC" hidden="1">"c11757"</definedName>
    <definedName name="IQ_BALANCE_GOODS_YOY_FC_UNUSED" hidden="1">"c8133"</definedName>
    <definedName name="IQ_BALANCE_GOODS_YOY_FC_UNUSED_UNUSED_UNUSED" hidden="1">"c8133"</definedName>
    <definedName name="IQ_BALANCE_GOODS_YOY_UNUSED" hidden="1">"c7253"</definedName>
    <definedName name="IQ_BALANCE_GOODS_YOY_UNUSED_UNUSED_UNUSED" hidden="1">"c7253"</definedName>
    <definedName name="IQ_BALANCE_SERV_APR_FC_UNUSED" hidden="1">"c8355"</definedName>
    <definedName name="IQ_BALANCE_SERV_APR_FC_UNUSED_UNUSED_UNUSED" hidden="1">"c8355"</definedName>
    <definedName name="IQ_BALANCE_SERV_APR_UNUSED" hidden="1">"c7475"</definedName>
    <definedName name="IQ_BALANCE_SERV_APR_UNUSED_UNUSED_UNUSED" hidden="1">"c7475"</definedName>
    <definedName name="IQ_BALANCE_SERV_FC_UNUSED" hidden="1">"c7695"</definedName>
    <definedName name="IQ_BALANCE_SERV_FC_UNUSED_UNUSED_UNUSED" hidden="1">"c7695"</definedName>
    <definedName name="IQ_BALANCE_SERV_POP_FC_UNUSED" hidden="1">"c7915"</definedName>
    <definedName name="IQ_BALANCE_SERV_POP_FC_UNUSED_UNUSED_UNUSED" hidden="1">"c7915"</definedName>
    <definedName name="IQ_BALANCE_SERV_POP_UNUSED" hidden="1">"c7035"</definedName>
    <definedName name="IQ_BALANCE_SERV_POP_UNUSED_UNUSED_UNUSED" hidden="1">"c7035"</definedName>
    <definedName name="IQ_BALANCE_SERV_SAAR" hidden="1">"c6816"</definedName>
    <definedName name="IQ_BALANCE_SERV_SAAR_APR" hidden="1">"c7476"</definedName>
    <definedName name="IQ_BALANCE_SERV_SAAR_APR_FC" hidden="1">"c8356"</definedName>
    <definedName name="IQ_BALANCE_SERV_SAAR_FC" hidden="1">"c7696"</definedName>
    <definedName name="IQ_BALANCE_SERV_SAAR_POP" hidden="1">"c7036"</definedName>
    <definedName name="IQ_BALANCE_SERV_SAAR_POP_FC" hidden="1">"c7916"</definedName>
    <definedName name="IQ_BALANCE_SERV_SAAR_YOY" hidden="1">"c7256"</definedName>
    <definedName name="IQ_BALANCE_SERV_SAAR_YOY_FC" hidden="1">"c8136"</definedName>
    <definedName name="IQ_BALANCE_SERV_UNUSED" hidden="1">"c6815"</definedName>
    <definedName name="IQ_BALANCE_SERV_UNUSED_UNUSED_UNUSED" hidden="1">"c6815"</definedName>
    <definedName name="IQ_BALANCE_SERV_USD_APR_FC" hidden="1">"c11766"</definedName>
    <definedName name="IQ_BALANCE_SERV_USD_FC" hidden="1">"c11763"</definedName>
    <definedName name="IQ_BALANCE_SERV_USD_POP_FC" hidden="1">"c11764"</definedName>
    <definedName name="IQ_BALANCE_SERV_USD_YOY_FC" hidden="1">"c11765"</definedName>
    <definedName name="IQ_BALANCE_SERV_YOY_FC_UNUSED" hidden="1">"c8135"</definedName>
    <definedName name="IQ_BALANCE_SERV_YOY_FC_UNUSED_UNUSED_UNUSED" hidden="1">"c8135"</definedName>
    <definedName name="IQ_BALANCE_SERV_YOY_UNUSED" hidden="1">"c7255"</definedName>
    <definedName name="IQ_BALANCE_SERV_YOY_UNUSED_UNUSED_UNUSED" hidden="1">"c7255"</definedName>
    <definedName name="IQ_BALANCE_SERVICES_REAL" hidden="1">"c6954"</definedName>
    <definedName name="IQ_BALANCE_SERVICES_REAL_APR" hidden="1">"c7614"</definedName>
    <definedName name="IQ_BALANCE_SERVICES_REAL_APR_FC" hidden="1">"c8494"</definedName>
    <definedName name="IQ_BALANCE_SERVICES_REAL_FC" hidden="1">"c7834"</definedName>
    <definedName name="IQ_BALANCE_SERVICES_REAL_POP" hidden="1">"c7174"</definedName>
    <definedName name="IQ_BALANCE_SERVICES_REAL_POP_FC" hidden="1">"c8054"</definedName>
    <definedName name="IQ_BALANCE_SERVICES_REAL_SAAR" hidden="1">"c6955"</definedName>
    <definedName name="IQ_BALANCE_SERVICES_REAL_SAAR_APR" hidden="1">"c7615"</definedName>
    <definedName name="IQ_BALANCE_SERVICES_REAL_SAAR_APR_FC" hidden="1">"c8495"</definedName>
    <definedName name="IQ_BALANCE_SERVICES_REAL_SAAR_FC" hidden="1">"c7835"</definedName>
    <definedName name="IQ_BALANCE_SERVICES_REAL_SAAR_POP" hidden="1">"c7175"</definedName>
    <definedName name="IQ_BALANCE_SERVICES_REAL_SAAR_POP_FC" hidden="1">"c8055"</definedName>
    <definedName name="IQ_BALANCE_SERVICES_REAL_SAAR_YOY" hidden="1">"c7395"</definedName>
    <definedName name="IQ_BALANCE_SERVICES_REAL_SAAR_YOY_FC" hidden="1">"c8275"</definedName>
    <definedName name="IQ_BALANCE_SERVICES_REAL_USD_APR_FC" hidden="1">"c11897"</definedName>
    <definedName name="IQ_BALANCE_SERVICES_REAL_USD_FC" hidden="1">"c11894"</definedName>
    <definedName name="IQ_BALANCE_SERVICES_REAL_USD_POP_FC" hidden="1">"c11895"</definedName>
    <definedName name="IQ_BALANCE_SERVICES_REAL_USD_YOY_FC" hidden="1">"c11896"</definedName>
    <definedName name="IQ_BALANCE_SERVICES_REAL_YOY" hidden="1">"c7394"</definedName>
    <definedName name="IQ_BALANCE_SERVICES_REAL_YOY_FC" hidden="1">"c8274"</definedName>
    <definedName name="IQ_BALANCE_TRADE_APR_FC_UNUSED" hidden="1">"c8357"</definedName>
    <definedName name="IQ_BALANCE_TRADE_APR_FC_UNUSED_UNUSED_UNUSED" hidden="1">"c8357"</definedName>
    <definedName name="IQ_BALANCE_TRADE_APR_UNUSED" hidden="1">"c7477"</definedName>
    <definedName name="IQ_BALANCE_TRADE_APR_UNUSED_UNUSED_UNUSED" hidden="1">"c7477"</definedName>
    <definedName name="IQ_BALANCE_TRADE_FC_UNUSED" hidden="1">"c7697"</definedName>
    <definedName name="IQ_BALANCE_TRADE_FC_UNUSED_UNUSED_UNUSED" hidden="1">"c7697"</definedName>
    <definedName name="IQ_BALANCE_TRADE_POP_FC_UNUSED" hidden="1">"c7917"</definedName>
    <definedName name="IQ_BALANCE_TRADE_POP_FC_UNUSED_UNUSED_UNUSED" hidden="1">"c7917"</definedName>
    <definedName name="IQ_BALANCE_TRADE_POP_UNUSED" hidden="1">"c7037"</definedName>
    <definedName name="IQ_BALANCE_TRADE_POP_UNUSED_UNUSED_UNUSED" hidden="1">"c7037"</definedName>
    <definedName name="IQ_BALANCE_TRADE_REAL" hidden="1">"c6956"</definedName>
    <definedName name="IQ_BALANCE_TRADE_REAL_APR" hidden="1">"c7616"</definedName>
    <definedName name="IQ_BALANCE_TRADE_REAL_APR_FC" hidden="1">"c8496"</definedName>
    <definedName name="IQ_BALANCE_TRADE_REAL_FC" hidden="1">"c7836"</definedName>
    <definedName name="IQ_BALANCE_TRADE_REAL_POP" hidden="1">"c7176"</definedName>
    <definedName name="IQ_BALANCE_TRADE_REAL_POP_FC" hidden="1">"c8056"</definedName>
    <definedName name="IQ_BALANCE_TRADE_REAL_SAAR" hidden="1">"c6957"</definedName>
    <definedName name="IQ_BALANCE_TRADE_REAL_SAAR_APR" hidden="1">"c7617"</definedName>
    <definedName name="IQ_BALANCE_TRADE_REAL_SAAR_APR_FC" hidden="1">"c8497"</definedName>
    <definedName name="IQ_BALANCE_TRADE_REAL_SAAR_FC" hidden="1">"c7837"</definedName>
    <definedName name="IQ_BALANCE_TRADE_REAL_SAAR_POP" hidden="1">"c7177"</definedName>
    <definedName name="IQ_BALANCE_TRADE_REAL_SAAR_POP_FC" hidden="1">"c8057"</definedName>
    <definedName name="IQ_BALANCE_TRADE_REAL_SAAR_USD_APR_FC" hidden="1">"c11905"</definedName>
    <definedName name="IQ_BALANCE_TRADE_REAL_SAAR_USD_FC" hidden="1">"c11902"</definedName>
    <definedName name="IQ_BALANCE_TRADE_REAL_SAAR_USD_POP_FC" hidden="1">"c11903"</definedName>
    <definedName name="IQ_BALANCE_TRADE_REAL_SAAR_USD_YOY_FC" hidden="1">"c11904"</definedName>
    <definedName name="IQ_BALANCE_TRADE_REAL_SAAR_YOY" hidden="1">"c7397"</definedName>
    <definedName name="IQ_BALANCE_TRADE_REAL_SAAR_YOY_FC" hidden="1">"c8277"</definedName>
    <definedName name="IQ_BALANCE_TRADE_REAL_USD_APR_FC" hidden="1">"c11901"</definedName>
    <definedName name="IQ_BALANCE_TRADE_REAL_USD_FC" hidden="1">"c11898"</definedName>
    <definedName name="IQ_BALANCE_TRADE_REAL_USD_POP_FC" hidden="1">"c11899"</definedName>
    <definedName name="IQ_BALANCE_TRADE_REAL_USD_YOY_FC" hidden="1">"c11900"</definedName>
    <definedName name="IQ_BALANCE_TRADE_REAL_YOY" hidden="1">"c7396"</definedName>
    <definedName name="IQ_BALANCE_TRADE_REAL_YOY_FC" hidden="1">"c8276"</definedName>
    <definedName name="IQ_BALANCE_TRADE_SAAR" hidden="1">"c6818"</definedName>
    <definedName name="IQ_BALANCE_TRADE_SAAR_APR" hidden="1">"c7478"</definedName>
    <definedName name="IQ_BALANCE_TRADE_SAAR_APR_FC" hidden="1">"c8358"</definedName>
    <definedName name="IQ_BALANCE_TRADE_SAAR_FC" hidden="1">"c7698"</definedName>
    <definedName name="IQ_BALANCE_TRADE_SAAR_POP" hidden="1">"c7038"</definedName>
    <definedName name="IQ_BALANCE_TRADE_SAAR_POP_FC" hidden="1">"c7918"</definedName>
    <definedName name="IQ_BALANCE_TRADE_SAAR_USD_APR_FC" hidden="1">"c11774"</definedName>
    <definedName name="IQ_BALANCE_TRADE_SAAR_USD_FC" hidden="1">"c11771"</definedName>
    <definedName name="IQ_BALANCE_TRADE_SAAR_USD_POP_FC" hidden="1">"c11772"</definedName>
    <definedName name="IQ_BALANCE_TRADE_SAAR_USD_YOY_FC" hidden="1">"c11773"</definedName>
    <definedName name="IQ_BALANCE_TRADE_SAAR_YOY" hidden="1">"c7258"</definedName>
    <definedName name="IQ_BALANCE_TRADE_SAAR_YOY_FC" hidden="1">"c8138"</definedName>
    <definedName name="IQ_BALANCE_TRADE_UNUSED" hidden="1">"c6817"</definedName>
    <definedName name="IQ_BALANCE_TRADE_UNUSED_UNUSED_UNUSED" hidden="1">"c6817"</definedName>
    <definedName name="IQ_BALANCE_TRADE_USD_APR_FC" hidden="1">"c11770"</definedName>
    <definedName name="IQ_BALANCE_TRADE_USD_FC" hidden="1">"c11767"</definedName>
    <definedName name="IQ_BALANCE_TRADE_USD_POP_FC" hidden="1">"c11768"</definedName>
    <definedName name="IQ_BALANCE_TRADE_USD_YOY_FC" hidden="1">"c11769"</definedName>
    <definedName name="IQ_BALANCE_TRADE_YOY_FC_UNUSED" hidden="1">"c8137"</definedName>
    <definedName name="IQ_BALANCE_TRADE_YOY_FC_UNUSED_UNUSED_UNUSED" hidden="1">"c8137"</definedName>
    <definedName name="IQ_BALANCE_TRADE_YOY_UNUSED" hidden="1">"c7257"</definedName>
    <definedName name="IQ_BALANCE_TRADE_YOY_UNUSED_UNUSED_UNUSED" hidden="1">"c7257"</definedName>
    <definedName name="IQ_BALANCES_DUE_DEPOSITORY_INSTITUTIONS_FDIC" hidden="1">"c6389"</definedName>
    <definedName name="IQ_BALANCES_DUE_FOREIGN_FDIC" hidden="1">"c6391"</definedName>
    <definedName name="IQ_BALANCES_DUE_FRB_FDIC" hidden="1">"c6393"</definedName>
    <definedName name="IQ_BANK_BENEFICIARY_FDIC" hidden="1">"c6505"</definedName>
    <definedName name="IQ_BANK_DEBT" hidden="1">"c2544"</definedName>
    <definedName name="IQ_BANK_DEBT_PCT" hidden="1">"c2545"</definedName>
    <definedName name="IQ_BANK_GUARANTOR_FDIC" hidden="1">"c6506"</definedName>
    <definedName name="IQ_BANK_LOAN_LIST" hidden="1">"c13507"</definedName>
    <definedName name="IQ_BANK_PREMISES_FDIC" hidden="1">"c6329"</definedName>
    <definedName name="IQ_BANK_SECURITIZATION_1_4_FAMILY_LOANS_FDIC" hidden="1">"c6721"</definedName>
    <definedName name="IQ_BANK_SECURITIZATION_AUTO_LOANS_FDIC" hidden="1">"c6715"</definedName>
    <definedName name="IQ_BANK_SECURITIZATION_CL_LOANS_FDIC" hidden="1">"c6716"</definedName>
    <definedName name="IQ_BANK_SECURITIZATION_CREDIT_CARDS_RECEIVABLES_FDIC" hidden="1">"c6718"</definedName>
    <definedName name="IQ_BANK_SECURITIZATION_HOME_EQUITY_LINES_FDIC" hidden="1">"c6719"</definedName>
    <definedName name="IQ_BANK_SECURITIZATION_OTHER_CONSUMER_LOANS_FDIC" hidden="1">"c6717"</definedName>
    <definedName name="IQ_BANK_SECURITIZATION_OTHER_LOANS_FDIC" hidden="1">"c6720"</definedName>
    <definedName name="IQ_BANKING_FEES_OPERATING_INC_FFIEC" hidden="1">"c13386"</definedName>
    <definedName name="IQ_BANKS_FOREIGN_COUNTRIES_TOTAL_DEPOSITS_FDIC" hidden="1">"c6475"</definedName>
    <definedName name="IQ_BASIC_EPS_EXCL" hidden="1">"c85"</definedName>
    <definedName name="IQ_BASIC_EPS_INCL" hidden="1">"c86"</definedName>
    <definedName name="IQ_BASIC_NORMAL_EPS" hidden="1">"c1592"</definedName>
    <definedName name="IQ_BASIC_OUTSTANDING_CURRENT_EST" hidden="1">"c4128"</definedName>
    <definedName name="IQ_BASIC_OUTSTANDING_CURRENT_HIGH_EST" hidden="1">"c4129"</definedName>
    <definedName name="IQ_BASIC_OUTSTANDING_CURRENT_LOW_EST" hidden="1">"c4130"</definedName>
    <definedName name="IQ_BASIC_OUTSTANDING_CURRENT_MEDIAN_EST" hidden="1">"c4131"</definedName>
    <definedName name="IQ_BASIC_OUTSTANDING_CURRENT_NUM_EST" hidden="1">"c4132"</definedName>
    <definedName name="IQ_BASIC_OUTSTANDING_CURRENT_STDDEV_EST" hidden="1">"c4133"</definedName>
    <definedName name="IQ_BASIC_OUTSTANDING_EST" hidden="1">"c4134"</definedName>
    <definedName name="IQ_BASIC_OUTSTANDING_HIGH_EST" hidden="1">"c4135"</definedName>
    <definedName name="IQ_BASIC_OUTSTANDING_LOW_EST" hidden="1">"c4136"</definedName>
    <definedName name="IQ_BASIC_OUTSTANDING_MEDIAN_EST" hidden="1">"c4137"</definedName>
    <definedName name="IQ_BASIC_OUTSTANDING_NUM_EST" hidden="1">"c4138"</definedName>
    <definedName name="IQ_BASIC_OUTSTANDING_STDDEV_EST" hidden="1">"c4139"</definedName>
    <definedName name="IQ_BASIC_WEIGHT" hidden="1">"c87"</definedName>
    <definedName name="IQ_BASIC_WEIGHT_EST" hidden="1">"c4140"</definedName>
    <definedName name="IQ_BASIC_WEIGHT_GUIDANCE" hidden="1">"c4141"</definedName>
    <definedName name="IQ_BASIC_WEIGHT_HIGH_EST" hidden="1">"c4142"</definedName>
    <definedName name="IQ_BASIC_WEIGHT_LOW_EST" hidden="1">"c4143"</definedName>
    <definedName name="IQ_BASIC_WEIGHT_MEDIAN_EST" hidden="1">"c4144"</definedName>
    <definedName name="IQ_BASIC_WEIGHT_NUM_EST" hidden="1">"c4145"</definedName>
    <definedName name="IQ_BASIC_WEIGHT_STDDEV_EST" hidden="1">"c4146"</definedName>
    <definedName name="IQ_BENCHMARK_SECURITY" hidden="1">"c2154"</definedName>
    <definedName name="IQ_BENCHMARK_SPRD" hidden="1">"c2153"</definedName>
    <definedName name="IQ_BENCHMARK_YIELD" hidden="1">"c8955"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LIST" hidden="1">"c13505"</definedName>
    <definedName name="IQ_BOND_PRICE" hidden="1">"c2162"</definedName>
    <definedName name="IQ_BONDRATING_FITCH" hidden="1">"IQ_BONDRATING_FITCH"</definedName>
    <definedName name="IQ_BONDRATING_SP" hidden="1">"IQ_BONDRATING_SP"</definedName>
    <definedName name="IQ_BOOK_VALUE" hidden="1">"IQ_BOOK_VALUE"</definedName>
    <definedName name="IQ_BORROWED_MONEY_QUARTERLY_AVG_FFIEC" hidden="1">"c13091"</definedName>
    <definedName name="IQ_BORROWINGS_LESS_1YR_ASSETS_TOT_FFIEC" hidden="1">"c13450"</definedName>
    <definedName name="IQ_BROK_COMISSION" hidden="1">"c98"</definedName>
    <definedName name="IQ_BROK_COMMISSION" hidden="1">"c3514"</definedName>
    <definedName name="IQ_BROKERED_DEPOSITS_FDIC" hidden="1">"c6486"</definedName>
    <definedName name="IQ_BUDGET_BALANCE_APR_FC_UNUSED" hidden="1">"c8359"</definedName>
    <definedName name="IQ_BUDGET_BALANCE_APR_FC_UNUSED_UNUSED_UNUSED" hidden="1">"c8359"</definedName>
    <definedName name="IQ_BUDGET_BALANCE_APR_UNUSED" hidden="1">"c7479"</definedName>
    <definedName name="IQ_BUDGET_BALANCE_APR_UNUSED_UNUSED_UNUSED" hidden="1">"c7479"</definedName>
    <definedName name="IQ_BUDGET_BALANCE_FC_UNUSED" hidden="1">"c7699"</definedName>
    <definedName name="IQ_BUDGET_BALANCE_FC_UNUSED_UNUSED_UNUSED" hidden="1">"c7699"</definedName>
    <definedName name="IQ_BUDGET_BALANCE_POP_FC_UNUSED" hidden="1">"c7919"</definedName>
    <definedName name="IQ_BUDGET_BALANCE_POP_FC_UNUSED_UNUSED_UNUSED" hidden="1">"c7919"</definedName>
    <definedName name="IQ_BUDGET_BALANCE_POP_UNUSED" hidden="1">"c7039"</definedName>
    <definedName name="IQ_BUDGET_BALANCE_POP_UNUSED_UNUSED_UNUSED" hidden="1">"c7039"</definedName>
    <definedName name="IQ_BUDGET_BALANCE_SAAR" hidden="1">"c6820"</definedName>
    <definedName name="IQ_BUDGET_BALANCE_SAAR_APR" hidden="1">"c7480"</definedName>
    <definedName name="IQ_BUDGET_BALANCE_SAAR_APR_FC" hidden="1">"c8360"</definedName>
    <definedName name="IQ_BUDGET_BALANCE_SAAR_FC" hidden="1">"c7700"</definedName>
    <definedName name="IQ_BUDGET_BALANCE_SAAR_POP" hidden="1">"c7040"</definedName>
    <definedName name="IQ_BUDGET_BALANCE_SAAR_POP_FC" hidden="1">"c7920"</definedName>
    <definedName name="IQ_BUDGET_BALANCE_SAAR_YOY" hidden="1">"c7260"</definedName>
    <definedName name="IQ_BUDGET_BALANCE_SAAR_YOY_FC" hidden="1">"c8140"</definedName>
    <definedName name="IQ_BUDGET_BALANCE_UNUSED" hidden="1">"c6819"</definedName>
    <definedName name="IQ_BUDGET_BALANCE_UNUSED_UNUSED_UNUSED" hidden="1">"c6819"</definedName>
    <definedName name="IQ_BUDGET_BALANCE_YOY_FC_UNUSED" hidden="1">"c8139"</definedName>
    <definedName name="IQ_BUDGET_BALANCE_YOY_FC_UNUSED_UNUSED_UNUSED" hidden="1">"c8139"</definedName>
    <definedName name="IQ_BUDGET_BALANCE_YOY_UNUSED" hidden="1">"c7259"</definedName>
    <definedName name="IQ_BUDGET_BALANCE_YOY_UNUSED_UNUSED_UNUSED" hidden="1">"c7259"</definedName>
    <definedName name="IQ_BUDGET_RECEIPTS_APR_FC_UNUSED" hidden="1">"c8361"</definedName>
    <definedName name="IQ_BUDGET_RECEIPTS_APR_FC_UNUSED_UNUSED_UNUSED" hidden="1">"c8361"</definedName>
    <definedName name="IQ_BUDGET_RECEIPTS_APR_UNUSED" hidden="1">"c7481"</definedName>
    <definedName name="IQ_BUDGET_RECEIPTS_APR_UNUSED_UNUSED_UNUSED" hidden="1">"c7481"</definedName>
    <definedName name="IQ_BUDGET_RECEIPTS_FC_UNUSED" hidden="1">"c7701"</definedName>
    <definedName name="IQ_BUDGET_RECEIPTS_FC_UNUSED_UNUSED_UNUSED" hidden="1">"c7701"</definedName>
    <definedName name="IQ_BUDGET_RECEIPTS_POP_FC_UNUSED" hidden="1">"c7921"</definedName>
    <definedName name="IQ_BUDGET_RECEIPTS_POP_FC_UNUSED_UNUSED_UNUSED" hidden="1">"c7921"</definedName>
    <definedName name="IQ_BUDGET_RECEIPTS_POP_UNUSED" hidden="1">"c7041"</definedName>
    <definedName name="IQ_BUDGET_RECEIPTS_POP_UNUSED_UNUSED_UNUSED" hidden="1">"c7041"</definedName>
    <definedName name="IQ_BUDGET_RECEIPTS_UNUSED" hidden="1">"c6821"</definedName>
    <definedName name="IQ_BUDGET_RECEIPTS_UNUSED_UNUSED_UNUSED" hidden="1">"c6821"</definedName>
    <definedName name="IQ_BUDGET_RECEIPTS_YOY_FC_UNUSED" hidden="1">"c8141"</definedName>
    <definedName name="IQ_BUDGET_RECEIPTS_YOY_FC_UNUSED_UNUSED_UNUSED" hidden="1">"c8141"</definedName>
    <definedName name="IQ_BUDGET_RECEIPTS_YOY_UNUSED" hidden="1">"c7261"</definedName>
    <definedName name="IQ_BUDGET_RECEIPTS_YOY_UNUSED_UNUSED_UNUSED" hidden="1">"c7261"</definedName>
    <definedName name="IQ_BUDGET_SPENDING" hidden="1">"c6822"</definedName>
    <definedName name="IQ_BUDGET_SPENDING_APR" hidden="1">"c7482"</definedName>
    <definedName name="IQ_BUDGET_SPENDING_APR_FC" hidden="1">"c8362"</definedName>
    <definedName name="IQ_BUDGET_SPENDING_FC" hidden="1">"c7702"</definedName>
    <definedName name="IQ_BUDGET_SPENDING_POP" hidden="1">"c7042"</definedName>
    <definedName name="IQ_BUDGET_SPENDING_POP_FC" hidden="1">"c7922"</definedName>
    <definedName name="IQ_BUDGET_SPENDING_REAL" hidden="1">"c6958"</definedName>
    <definedName name="IQ_BUDGET_SPENDING_REAL_APR" hidden="1">"c7618"</definedName>
    <definedName name="IQ_BUDGET_SPENDING_REAL_APR_FC" hidden="1">"c8498"</definedName>
    <definedName name="IQ_BUDGET_SPENDING_REAL_FC" hidden="1">"c7838"</definedName>
    <definedName name="IQ_BUDGET_SPENDING_REAL_POP" hidden="1">"c7178"</definedName>
    <definedName name="IQ_BUDGET_SPENDING_REAL_POP_FC" hidden="1">"c8058"</definedName>
    <definedName name="IQ_BUDGET_SPENDING_REAL_SAAR" hidden="1">"c6959"</definedName>
    <definedName name="IQ_BUDGET_SPENDING_REAL_SAAR_APR" hidden="1">"c7619"</definedName>
    <definedName name="IQ_BUDGET_SPENDING_REAL_SAAR_APR_FC" hidden="1">"c8499"</definedName>
    <definedName name="IQ_BUDGET_SPENDING_REAL_SAAR_FC" hidden="1">"c7839"</definedName>
    <definedName name="IQ_BUDGET_SPENDING_REAL_SAAR_POP" hidden="1">"c7179"</definedName>
    <definedName name="IQ_BUDGET_SPENDING_REAL_SAAR_POP_FC" hidden="1">"c8059"</definedName>
    <definedName name="IQ_BUDGET_SPENDING_REAL_SAAR_USD" hidden="1">"c11906"</definedName>
    <definedName name="IQ_BUDGET_SPENDING_REAL_SAAR_USD_APR" hidden="1">"c11909"</definedName>
    <definedName name="IQ_BUDGET_SPENDING_REAL_SAAR_USD_POP" hidden="1">"c11907"</definedName>
    <definedName name="IQ_BUDGET_SPENDING_REAL_SAAR_USD_YOY" hidden="1">"c11908"</definedName>
    <definedName name="IQ_BUDGET_SPENDING_REAL_SAAR_YOY" hidden="1">"c7399"</definedName>
    <definedName name="IQ_BUDGET_SPENDING_REAL_SAAR_YOY_FC" hidden="1">"c8279"</definedName>
    <definedName name="IQ_BUDGET_SPENDING_REAL_YOY" hidden="1">"c7398"</definedName>
    <definedName name="IQ_BUDGET_SPENDING_REAL_YOY_FC" hidden="1">"c8278"</definedName>
    <definedName name="IQ_BUDGET_SPENDING_SAAR" hidden="1">"c6823"</definedName>
    <definedName name="IQ_BUDGET_SPENDING_SAAR_APR" hidden="1">"c7483"</definedName>
    <definedName name="IQ_BUDGET_SPENDING_SAAR_APR_FC" hidden="1">"c8363"</definedName>
    <definedName name="IQ_BUDGET_SPENDING_SAAR_FC" hidden="1">"c7703"</definedName>
    <definedName name="IQ_BUDGET_SPENDING_SAAR_POP" hidden="1">"c7043"</definedName>
    <definedName name="IQ_BUDGET_SPENDING_SAAR_POP_FC" hidden="1">"c7923"</definedName>
    <definedName name="IQ_BUDGET_SPENDING_SAAR_USD_APR_FC" hidden="1">"c11782"</definedName>
    <definedName name="IQ_BUDGET_SPENDING_SAAR_USD_FC" hidden="1">"c11779"</definedName>
    <definedName name="IQ_BUDGET_SPENDING_SAAR_USD_POP_FC" hidden="1">"c11780"</definedName>
    <definedName name="IQ_BUDGET_SPENDING_SAAR_USD_YOY_FC" hidden="1">"c11781"</definedName>
    <definedName name="IQ_BUDGET_SPENDING_SAAR_YOY" hidden="1">"c7263"</definedName>
    <definedName name="IQ_BUDGET_SPENDING_SAAR_YOY_FC" hidden="1">"c8143"</definedName>
    <definedName name="IQ_BUDGET_SPENDING_USD_APR_FC" hidden="1">"c11778"</definedName>
    <definedName name="IQ_BUDGET_SPENDING_USD_FC" hidden="1">"c11775"</definedName>
    <definedName name="IQ_BUDGET_SPENDING_USD_POP_FC" hidden="1">"c11776"</definedName>
    <definedName name="IQ_BUDGET_SPENDING_USD_YOY_FC" hidden="1">"c11777"</definedName>
    <definedName name="IQ_BUDGET_SPENDING_YOY" hidden="1">"c7262"</definedName>
    <definedName name="IQ_BUDGET_SPENDING_YOY_FC" hidden="1">"c8142"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COMBINATIONS_FFIEC" hidden="1">"c12967"</definedName>
    <definedName name="IQ_BUSINESS_DESCRIPTION" hidden="1">"c322"</definedName>
    <definedName name="IQ_BV_ACT_OR_EST_CIQ" hidden="1">"c5068"</definedName>
    <definedName name="IQ_BV_ACT_OR_EST_REUT" hidden="1">"c5471"</definedName>
    <definedName name="IQ_BV_EST_REUT" hidden="1">"c5403"</definedName>
    <definedName name="IQ_BV_HIGH_EST_REUT" hidden="1">"c5405"</definedName>
    <definedName name="IQ_BV_LOW_EST_REUT" hidden="1">"c5406"</definedName>
    <definedName name="IQ_BV_MEDIAN_EST_REUT" hidden="1">"c5404"</definedName>
    <definedName name="IQ_BV_NUM_EST_REUT" hidden="1">"c5407"</definedName>
    <definedName name="IQ_BV_OVER_SHARES" hidden="1">"c1349"</definedName>
    <definedName name="IQ_BV_SHARE" hidden="1">"c100"</definedName>
    <definedName name="IQ_BV_SHARE_ACT_OR_EST" hidden="1">"c3587"</definedName>
    <definedName name="IQ_BV_SHARE_ACT_OR_EST_REUT" hidden="1">"c5477"</definedName>
    <definedName name="IQ_BV_SHARE_EST" hidden="1">"c3541"</definedName>
    <definedName name="IQ_BV_SHARE_EST_REUT" hidden="1">"c5439"</definedName>
    <definedName name="IQ_BV_SHARE_HIGH_EST" hidden="1">"c3542"</definedName>
    <definedName name="IQ_BV_SHARE_HIGH_EST_REUT" hidden="1">"c5441"</definedName>
    <definedName name="IQ_BV_SHARE_LOW_EST" hidden="1">"c3543"</definedName>
    <definedName name="IQ_BV_SHARE_LOW_EST_REUT" hidden="1">"c5442"</definedName>
    <definedName name="IQ_BV_SHARE_MEDIAN_EST" hidden="1">"c3544"</definedName>
    <definedName name="IQ_BV_SHARE_MEDIAN_EST_REUT" hidden="1">"c5440"</definedName>
    <definedName name="IQ_BV_SHARE_NUM_EST" hidden="1">"c3539"</definedName>
    <definedName name="IQ_BV_SHARE_NUM_EST_REUT" hidden="1">"c5443"</definedName>
    <definedName name="IQ_BV_SHARE_STDDEV_EST" hidden="1">"c3540"</definedName>
    <definedName name="IQ_BV_SHARE_STDDEV_EST_REUT" hidden="1">"c5444"</definedName>
    <definedName name="IQ_BV_STDDEV_EST_REUT" hidden="1">"c5408"</definedName>
    <definedName name="IQ_CA_AP" hidden="1">"c8881"</definedName>
    <definedName name="IQ_CA_AP_ABS" hidden="1">"c8900"</definedName>
    <definedName name="IQ_CA_NAME_AP" hidden="1">"c8919"</definedName>
    <definedName name="IQ_CA_NAME_AP_ABS" hidden="1">"c8938"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Q_EST" hidden="1">"c6796"</definedName>
    <definedName name="IQ_CAL_Q_EST_CIQ" hidden="1">"c6808"</definedName>
    <definedName name="IQ_CAL_Q_EST_REUT" hidden="1">"c6800"</definedName>
    <definedName name="IQ_CAL_Y" hidden="1">"c102"</definedName>
    <definedName name="IQ_CAL_Y_EST" hidden="1">"c6797"</definedName>
    <definedName name="IQ_CAL_Y_EST_CIQ" hidden="1">"c6809"</definedName>
    <definedName name="IQ_CAL_Y_EST_REUT" hidden="1">"c6801"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_UTIL_RATE" hidden="1">"c6824"</definedName>
    <definedName name="IQ_CAP_UTIL_RATE_POP" hidden="1">"c7044"</definedName>
    <definedName name="IQ_CAP_UTIL_RATE_YOY" hidden="1">"c7264"</definedName>
    <definedName name="IQ_CAPEX" hidden="1">"c103"</definedName>
    <definedName name="IQ_CAPEX_10YR_ANN_CAGR" hidden="1">"c6050"</definedName>
    <definedName name="IQ_CAPEX_10YR_ANN_GROWTH" hidden="1">"c104"</definedName>
    <definedName name="IQ_CAPEX_1YR_ANN_GROWTH" hidden="1">"c105"</definedName>
    <definedName name="IQ_CAPEX_2YR_ANN_CAGR" hidden="1">"c6051"</definedName>
    <definedName name="IQ_CAPEX_2YR_ANN_GROWTH" hidden="1">"c106"</definedName>
    <definedName name="IQ_CAPEX_3YR_ANN_CAGR" hidden="1">"c6052"</definedName>
    <definedName name="IQ_CAPEX_3YR_ANN_GROWTH" hidden="1">"c107"</definedName>
    <definedName name="IQ_CAPEX_5YR_ANN_CAGR" hidden="1">"c6053"</definedName>
    <definedName name="IQ_CAPEX_5YR_ANN_GROWTH" hidden="1">"c108"</definedName>
    <definedName name="IQ_CAPEX_7YR_ANN_CAGR" hidden="1">"c6054"</definedName>
    <definedName name="IQ_CAPEX_7YR_ANN_GROWTH" hidden="1">"c109"</definedName>
    <definedName name="IQ_CAPEX_ACT_OR_EST" hidden="1">"c3584"</definedName>
    <definedName name="IQ_CAPEX_ACT_OR_EST_REUT" hidden="1">"c5474"</definedName>
    <definedName name="IQ_CAPEX_BNK" hidden="1">"c110"</definedName>
    <definedName name="IQ_CAPEX_BR" hidden="1">"c111"</definedName>
    <definedName name="IQ_CAPEX_EST" hidden="1">"c3523"</definedName>
    <definedName name="IQ_CAPEX_EST_REUT" hidden="1">"c3969"</definedName>
    <definedName name="IQ_CAPEX_FIN" hidden="1">"c112"</definedName>
    <definedName name="IQ_CAPEX_GUIDANCE" hidden="1">"c4150"</definedName>
    <definedName name="IQ_CAPEX_HIGH_EST" hidden="1">"c3524"</definedName>
    <definedName name="IQ_CAPEX_HIGH_EST_REUT" hidden="1">"c3971"</definedName>
    <definedName name="IQ_CAPEX_HIGH_GUIDANCE" hidden="1">"c4180"</definedName>
    <definedName name="IQ_CAPEX_INS" hidden="1">"c113"</definedName>
    <definedName name="IQ_CAPEX_LOW_EST" hidden="1">"c3525"</definedName>
    <definedName name="IQ_CAPEX_LOW_EST_REUT" hidden="1">"c3972"</definedName>
    <definedName name="IQ_CAPEX_LOW_GUIDANCE" hidden="1">"c4220"</definedName>
    <definedName name="IQ_CAPEX_MEDIAN_EST" hidden="1">"c3526"</definedName>
    <definedName name="IQ_CAPEX_MEDIAN_EST_REUT" hidden="1">"c3970"</definedName>
    <definedName name="IQ_CAPEX_NUM_EST" hidden="1">"c3521"</definedName>
    <definedName name="IQ_CAPEX_NUM_EST_REUT" hidden="1">"c3973"</definedName>
    <definedName name="IQ_CAPEX_STDDEV_EST" hidden="1">"c3522"</definedName>
    <definedName name="IQ_CAPEX_STDDEV_EST_REUT" hidden="1">"c3974"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_RAISED_PERIOD_COVERED" hidden="1">"c9959"</definedName>
    <definedName name="IQ_CAPITAL_RAISED_PERIOD_GROUP" hidden="1">"c9945"</definedName>
    <definedName name="IQ_CAPITALIZED_INTEREST" hidden="1">"c3460"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"c116"</definedName>
    <definedName name="IQ_CASH_BALANCES_DUE_FFIEC" hidden="1">"c12773"</definedName>
    <definedName name="IQ_CASH_CONVERSION" hidden="1">"c117"</definedName>
    <definedName name="IQ_CASH_COST_ALUM" hidden="1">"c9252"</definedName>
    <definedName name="IQ_CASH_COST_COAL" hidden="1">"c9825"</definedName>
    <definedName name="IQ_CASH_COST_COP" hidden="1">"c9199"</definedName>
    <definedName name="IQ_CASH_COST_DIAM" hidden="1">"c9676"</definedName>
    <definedName name="IQ_CASH_COST_GOLD" hidden="1">"c9037"</definedName>
    <definedName name="IQ_CASH_COST_IRON" hidden="1">"c9411"</definedName>
    <definedName name="IQ_CASH_COST_LEAD" hidden="1">"c9464"</definedName>
    <definedName name="IQ_CASH_COST_MANG" hidden="1">"c9517"</definedName>
    <definedName name="IQ_CASH_COST_MET_COAL" hidden="1">"c9762"</definedName>
    <definedName name="IQ_CASH_COST_MOLYB" hidden="1">"c9729"</definedName>
    <definedName name="IQ_CASH_COST_NICK" hidden="1">"c9305"</definedName>
    <definedName name="IQ_CASH_COST_PLAT" hidden="1">"c9143"</definedName>
    <definedName name="IQ_CASH_COST_SILVER" hidden="1">"c9090"</definedName>
    <definedName name="IQ_CASH_COST_STEAM" hidden="1">"c9792"</definedName>
    <definedName name="IQ_CASH_COST_TITAN" hidden="1">"c9570"</definedName>
    <definedName name="IQ_CASH_COST_URAN" hidden="1">"c9623"</definedName>
    <definedName name="IQ_CASH_COST_ZINC" hidden="1">"c9358"</definedName>
    <definedName name="IQ_CASH_DIVIDENDS_NET_INCOME_FDIC" hidden="1">"c6738"</definedName>
    <definedName name="IQ_CASH_DUE_BANKS" hidden="1">"c1351"</definedName>
    <definedName name="IQ_CASH_EQUIV" hidden="1">"c118"</definedName>
    <definedName name="IQ_CASH_FINAN" hidden="1">"c119"</definedName>
    <definedName name="IQ_CASH_FINAN_AP" hidden="1">"c8890"</definedName>
    <definedName name="IQ_CASH_FINAN_AP_ABS" hidden="1">"c8909"</definedName>
    <definedName name="IQ_CASH_FINAN_NAME_AP" hidden="1">"c8928"</definedName>
    <definedName name="IQ_CASH_FINAN_NAME_AP_ABS" hidden="1">"c8947"</definedName>
    <definedName name="IQ_CASH_FINAN_SUBTOTAL_AP" hidden="1">"c10111"</definedName>
    <definedName name="IQ_CASH_FLOW_ACT_OR_EST" hidden="1">"c4154"</definedName>
    <definedName name="IQ_CASH_FLOW_ACT_OR_EST_CIQ" hidden="1">"c4566"</definedName>
    <definedName name="IQ_CASH_FLOW_EST" hidden="1">"c4153"</definedName>
    <definedName name="IQ_CASH_FLOW_GUIDANCE" hidden="1">"c4155"</definedName>
    <definedName name="IQ_CASH_FLOW_HIGH_EST" hidden="1">"c4156"</definedName>
    <definedName name="IQ_CASH_FLOW_HIGH_GUIDANCE" hidden="1">"c4201"</definedName>
    <definedName name="IQ_CASH_FLOW_LOW_EST" hidden="1">"c4157"</definedName>
    <definedName name="IQ_CASH_FLOW_LOW_GUIDANCE" hidden="1">"c4241"</definedName>
    <definedName name="IQ_CASH_FLOW_MEDIAN_EST" hidden="1">"c4158"</definedName>
    <definedName name="IQ_CASH_FLOW_NUM_EST" hidden="1">"c4159"</definedName>
    <definedName name="IQ_CASH_FLOW_STDDEV_EST" hidden="1">"c4160"</definedName>
    <definedName name="IQ_CASH_IN_PROCESS_FDIC" hidden="1">"c6386"</definedName>
    <definedName name="IQ_CASH_INTEREST" hidden="1">"c120"</definedName>
    <definedName name="IQ_CASH_INTEREST_FINAN" hidden="1">"c6295"</definedName>
    <definedName name="IQ_CASH_INTEREST_INVEST" hidden="1">"c6294"</definedName>
    <definedName name="IQ_CASH_INTEREST_NET" hidden="1">"c12753"</definedName>
    <definedName name="IQ_CASH_INTEREST_OPER" hidden="1">"c6293"</definedName>
    <definedName name="IQ_CASH_INTEREST_RECEIVED" hidden="1">"c12754"</definedName>
    <definedName name="IQ_CASH_INVEST" hidden="1">"c121"</definedName>
    <definedName name="IQ_CASH_INVEST_AP" hidden="1">"c8889"</definedName>
    <definedName name="IQ_CASH_INVEST_AP_ABS" hidden="1">"c8908"</definedName>
    <definedName name="IQ_CASH_INVEST_NAME_AP" hidden="1">"c8927"</definedName>
    <definedName name="IQ_CASH_INVEST_NAME_AP_ABS" hidden="1">"c8946"</definedName>
    <definedName name="IQ_CASH_INVEST_SUBTOTAL_AP" hidden="1">"c8991"</definedName>
    <definedName name="IQ_CASH_OPER" hidden="1">"c122"</definedName>
    <definedName name="IQ_CASH_OPER_ACT_OR_EST" hidden="1">"c4164"</definedName>
    <definedName name="IQ_CASH_OPER_ACT_OR_EST_CIQ" hidden="1">"c4576"</definedName>
    <definedName name="IQ_CASH_OPER_AP" hidden="1">"c8888"</definedName>
    <definedName name="IQ_CASH_OPER_AP_ABS" hidden="1">"c8907"</definedName>
    <definedName name="IQ_CASH_OPER_EST" hidden="1">"c4163"</definedName>
    <definedName name="IQ_CASH_OPER_GUIDANCE" hidden="1">"c4165"</definedName>
    <definedName name="IQ_CASH_OPER_HIGH_EST" hidden="1">"c4166"</definedName>
    <definedName name="IQ_CASH_OPER_HIGH_GUIDANCE" hidden="1">"c4185"</definedName>
    <definedName name="IQ_CASH_OPER_LOW_EST" hidden="1">"c4244"</definedName>
    <definedName name="IQ_CASH_OPER_LOW_GUIDANCE" hidden="1">"c4225"</definedName>
    <definedName name="IQ_CASH_OPER_MEDIAN_EST" hidden="1">"c4245"</definedName>
    <definedName name="IQ_CASH_OPER_NAME_AP" hidden="1">"c8926"</definedName>
    <definedName name="IQ_CASH_OPER_NAME_AP_ABS" hidden="1">"c8945"</definedName>
    <definedName name="IQ_CASH_OPER_NUM_EST" hidden="1">"c4246"</definedName>
    <definedName name="IQ_CASH_OPER_STDDEV_EST" hidden="1">"c4247"</definedName>
    <definedName name="IQ_CASH_OPER_SUBTOTAL_AP" hidden="1">"c8990"</definedName>
    <definedName name="IQ_CASH_OTHER_ADJ_AP" hidden="1">"c8891"</definedName>
    <definedName name="IQ_CASH_OTHER_ADJ_AP_ABS" hidden="1">"c8910"</definedName>
    <definedName name="IQ_CASH_OTHER_ADJ_NAME_AP" hidden="1">"c8929"</definedName>
    <definedName name="IQ_CASH_OTHER_ADJ_NAME_AP_ABS" hidden="1">"c8948"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ST_INVEST_EST" hidden="1">"c4249"</definedName>
    <definedName name="IQ_CASH_ST_INVEST_GUIDANCE" hidden="1">"c4250"</definedName>
    <definedName name="IQ_CASH_ST_INVEST_HIGH_EST" hidden="1">"c4251"</definedName>
    <definedName name="IQ_CASH_ST_INVEST_HIGH_GUIDANCE" hidden="1">"c4195"</definedName>
    <definedName name="IQ_CASH_ST_INVEST_LOW_EST" hidden="1">"c4252"</definedName>
    <definedName name="IQ_CASH_ST_INVEST_LOW_GUIDANCE" hidden="1">"c4235"</definedName>
    <definedName name="IQ_CASH_ST_INVEST_MEDIAN_EST" hidden="1">"c4253"</definedName>
    <definedName name="IQ_CASH_ST_INVEST_NUM_EST" hidden="1">"c4254"</definedName>
    <definedName name="IQ_CASH_ST_INVEST_STDDEV_EST" hidden="1">"c4255"</definedName>
    <definedName name="IQ_CASH_TAXES" hidden="1">"c125"</definedName>
    <definedName name="IQ_CASH_TAXES_FINAN" hidden="1">"c6292"</definedName>
    <definedName name="IQ_CASH_TAXES_INVEST" hidden="1">"c6291"</definedName>
    <definedName name="IQ_CASH_TAXES_OPER" hidden="1">"c6290"</definedName>
    <definedName name="IQ_CCE_FDIC" hidden="1">"c6296"</definedName>
    <definedName name="IQ_CDS_5YR_CIQID" hidden="1">"c11751"</definedName>
    <definedName name="IQ_CDS_ASK" hidden="1">"c6027"</definedName>
    <definedName name="IQ_CDS_BID" hidden="1">"c6026"</definedName>
    <definedName name="IQ_CDS_CURRENCY" hidden="1">"c6031"</definedName>
    <definedName name="IQ_CDS_DERIVATIVES_BENEFICIARY_FFIEC" hidden="1">"c13119"</definedName>
    <definedName name="IQ_CDS_DERIVATIVES_GUARANTOR_FFIEC" hidden="1">"c13112"</definedName>
    <definedName name="IQ_CDS_EVAL_DATE" hidden="1">"c6029"</definedName>
    <definedName name="IQ_CDS_LIST" hidden="1">"c13510"</definedName>
    <definedName name="IQ_CDS_LOAN_LIST" hidden="1">"c13518"</definedName>
    <definedName name="IQ_CDS_MID" hidden="1">"c6028"</definedName>
    <definedName name="IQ_CDS_NAME" hidden="1">"c6034"</definedName>
    <definedName name="IQ_CDS_SENIOR_LIST" hidden="1">"c13508"</definedName>
    <definedName name="IQ_CDS_SUB_LIST" hidden="1">"c13509"</definedName>
    <definedName name="IQ_CDS_TERM" hidden="1">"c6030"</definedName>
    <definedName name="IQ_CDS_TYPE" hidden="1">"c6025"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CAGR" hidden="1">"c6055"</definedName>
    <definedName name="IQ_CFO_10YR_ANN_GROWTH" hidden="1">"c126"</definedName>
    <definedName name="IQ_CFO_1YR_ANN_GROWTH" hidden="1">"c127"</definedName>
    <definedName name="IQ_CFO_2YR_ANN_CAGR" hidden="1">"c6056"</definedName>
    <definedName name="IQ_CFO_2YR_ANN_GROWTH" hidden="1">"c128"</definedName>
    <definedName name="IQ_CFO_3YR_ANN_CAGR" hidden="1">"c6057"</definedName>
    <definedName name="IQ_CFO_3YR_ANN_GROWTH" hidden="1">"c129"</definedName>
    <definedName name="IQ_CFO_5YR_ANN_CAGR" hidden="1">"c6058"</definedName>
    <definedName name="IQ_CFO_5YR_ANN_GROWTH" hidden="1">"c130"</definedName>
    <definedName name="IQ_CFO_7YR_ANN_CAGR" hidden="1">"c6059"</definedName>
    <definedName name="IQ_CFO_7YR_ANN_GROWTH" hidden="1">"c131"</definedName>
    <definedName name="IQ_CFO_CURRENT_LIAB" hidden="1">"c132"</definedName>
    <definedName name="IQ_CFPS_ACT_OR_EST" hidden="1">"c2217"</definedName>
    <definedName name="IQ_CFPS_ACT_OR_EST_REUT" hidden="1">"c5463"</definedName>
    <definedName name="IQ_CFPS_EST" hidden="1">"c1667"</definedName>
    <definedName name="IQ_CFPS_EST_REUT" hidden="1">"c3844"</definedName>
    <definedName name="IQ_CFPS_GUIDANCE" hidden="1">"c4256"</definedName>
    <definedName name="IQ_CFPS_HIGH_EST" hidden="1">"c1669"</definedName>
    <definedName name="IQ_CFPS_HIGH_EST_REUT" hidden="1">"c3846"</definedName>
    <definedName name="IQ_CFPS_HIGH_GUIDANCE" hidden="1">"c4167"</definedName>
    <definedName name="IQ_CFPS_LOW_EST" hidden="1">"c1670"</definedName>
    <definedName name="IQ_CFPS_LOW_EST_REUT" hidden="1">"c3847"</definedName>
    <definedName name="IQ_CFPS_LOW_GUIDANCE" hidden="1">"c4207"</definedName>
    <definedName name="IQ_CFPS_MEDIAN_EST" hidden="1">"c1668"</definedName>
    <definedName name="IQ_CFPS_MEDIAN_EST_REUT" hidden="1">"c3845"</definedName>
    <definedName name="IQ_CFPS_NUM_EST" hidden="1">"c1671"</definedName>
    <definedName name="IQ_CFPS_NUM_EST_REUT" hidden="1">"c3848"</definedName>
    <definedName name="IQ_CFPS_STDDEV_EST" hidden="1">"c1672"</definedName>
    <definedName name="IQ_CFPS_STDDEV_EST_REUT" hidden="1">"c3849"</definedName>
    <definedName name="IQ_CH" hidden="1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" hidden="1">"c6200"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" hidden="1">"c6201"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FAIR_VALUE_FINANCIAL_LIAB_T1_FFIEC" hidden="1">"c13138"</definedName>
    <definedName name="IQ_CHANGE_FAIR_VALUE_OPTIONS_FFIEC" hidden="1">"c13045"</definedName>
    <definedName name="IQ_CHANGE_INC_TAX" hidden="1">"c149"</definedName>
    <definedName name="IQ_CHANGE_INS_RES_LIAB" hidden="1">"c150"</definedName>
    <definedName name="IQ_CHANGE_INVENT" hidden="1">"c6826"</definedName>
    <definedName name="IQ_CHANGE_INVENT_APR" hidden="1">"c7486"</definedName>
    <definedName name="IQ_CHANGE_INVENT_POP" hidden="1">"c7046"</definedName>
    <definedName name="IQ_CHANGE_INVENT_REAL_APR_FC_UNUSED" hidden="1">"c8500"</definedName>
    <definedName name="IQ_CHANGE_INVENT_REAL_APR_FC_UNUSED_UNUSED_UNUSED" hidden="1">"c8500"</definedName>
    <definedName name="IQ_CHANGE_INVENT_REAL_APR_UNUSED" hidden="1">"c7620"</definedName>
    <definedName name="IQ_CHANGE_INVENT_REAL_APR_UNUSED_UNUSED_UNUSED" hidden="1">"c7620"</definedName>
    <definedName name="IQ_CHANGE_INVENT_REAL_FC_UNUSED" hidden="1">"c7840"</definedName>
    <definedName name="IQ_CHANGE_INVENT_REAL_FC_UNUSED_UNUSED_UNUSED" hidden="1">"c7840"</definedName>
    <definedName name="IQ_CHANGE_INVENT_REAL_POP_FC_UNUSED" hidden="1">"c8060"</definedName>
    <definedName name="IQ_CHANGE_INVENT_REAL_POP_FC_UNUSED_UNUSED_UNUSED" hidden="1">"c8060"</definedName>
    <definedName name="IQ_CHANGE_INVENT_REAL_POP_UNUSED" hidden="1">"c7180"</definedName>
    <definedName name="IQ_CHANGE_INVENT_REAL_POP_UNUSED_UNUSED_UNUSED" hidden="1">"c7180"</definedName>
    <definedName name="IQ_CHANGE_INVENT_REAL_SAAR" hidden="1">"c6962"</definedName>
    <definedName name="IQ_CHANGE_INVENT_REAL_SAAR_APR" hidden="1">"c7622"</definedName>
    <definedName name="IQ_CHANGE_INVENT_REAL_SAAR_APR_FC" hidden="1">"c8502"</definedName>
    <definedName name="IQ_CHANGE_INVENT_REAL_SAAR_FC" hidden="1">"c7842"</definedName>
    <definedName name="IQ_CHANGE_INVENT_REAL_SAAR_POP" hidden="1">"c7182"</definedName>
    <definedName name="IQ_CHANGE_INVENT_REAL_SAAR_POP_FC" hidden="1">"c8062"</definedName>
    <definedName name="IQ_CHANGE_INVENT_REAL_SAAR_USD_APR_FC" hidden="1">"c11917"</definedName>
    <definedName name="IQ_CHANGE_INVENT_REAL_SAAR_USD_FC" hidden="1">"c11914"</definedName>
    <definedName name="IQ_CHANGE_INVENT_REAL_SAAR_USD_POP_FC" hidden="1">"c11915"</definedName>
    <definedName name="IQ_CHANGE_INVENT_REAL_SAAR_USD_YOY_FC" hidden="1">"c11916"</definedName>
    <definedName name="IQ_CHANGE_INVENT_REAL_SAAR_YOY" hidden="1">"c7402"</definedName>
    <definedName name="IQ_CHANGE_INVENT_REAL_SAAR_YOY_FC" hidden="1">"c8282"</definedName>
    <definedName name="IQ_CHANGE_INVENT_REAL_UNUSED" hidden="1">"c6960"</definedName>
    <definedName name="IQ_CHANGE_INVENT_REAL_UNUSED_UNUSED_UNUSED" hidden="1">"c6960"</definedName>
    <definedName name="IQ_CHANGE_INVENT_REAL_USD_APR_FC" hidden="1">"c11913"</definedName>
    <definedName name="IQ_CHANGE_INVENT_REAL_USD_FC" hidden="1">"c11910"</definedName>
    <definedName name="IQ_CHANGE_INVENT_REAL_USD_POP_FC" hidden="1">"c11911"</definedName>
    <definedName name="IQ_CHANGE_INVENT_REAL_USD_YOY_FC" hidden="1">"c11912"</definedName>
    <definedName name="IQ_CHANGE_INVENT_REAL_YOY_FC_UNUSED" hidden="1">"c8280"</definedName>
    <definedName name="IQ_CHANGE_INVENT_REAL_YOY_FC_UNUSED_UNUSED_UNUSED" hidden="1">"c8280"</definedName>
    <definedName name="IQ_CHANGE_INVENT_REAL_YOY_UNUSED" hidden="1">"c7400"</definedName>
    <definedName name="IQ_CHANGE_INVENT_REAL_YOY_UNUSED_UNUSED_UNUSED" hidden="1">"c7400"</definedName>
    <definedName name="IQ_CHANGE_INVENT_SAAR" hidden="1">"c6827"</definedName>
    <definedName name="IQ_CHANGE_INVENT_SAAR_APR" hidden="1">"c7487"</definedName>
    <definedName name="IQ_CHANGE_INVENT_SAAR_APR_FC" hidden="1">"c8367"</definedName>
    <definedName name="IQ_CHANGE_INVENT_SAAR_FC" hidden="1">"c7707"</definedName>
    <definedName name="IQ_CHANGE_INVENT_SAAR_POP" hidden="1">"c7047"</definedName>
    <definedName name="IQ_CHANGE_INVENT_SAAR_POP_FC" hidden="1">"c7927"</definedName>
    <definedName name="IQ_CHANGE_INVENT_SAAR_YOY" hidden="1">"c7267"</definedName>
    <definedName name="IQ_CHANGE_INVENT_SAAR_YOY_FC" hidden="1">"c8147"</definedName>
    <definedName name="IQ_CHANGE_INVENT_YOY" hidden="1">"c7266"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" hidden="1">"c6285"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PRIVATE_INVENT" hidden="1">"c6828"</definedName>
    <definedName name="IQ_CHANGE_PRIVATE_INVENT_APR" hidden="1">"c7488"</definedName>
    <definedName name="IQ_CHANGE_PRIVATE_INVENT_APR_FC" hidden="1">"c8368"</definedName>
    <definedName name="IQ_CHANGE_PRIVATE_INVENT_FC" hidden="1">"c7708"</definedName>
    <definedName name="IQ_CHANGE_PRIVATE_INVENT_POP" hidden="1">"c7048"</definedName>
    <definedName name="IQ_CHANGE_PRIVATE_INVENT_POP_FC" hidden="1">"c7928"</definedName>
    <definedName name="IQ_CHANGE_PRIVATE_INVENT_YOY" hidden="1">"c7268"</definedName>
    <definedName name="IQ_CHANGE_PRIVATE_INVENT_YOY_FC" hidden="1">"c8148"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1_4_FAMILY_FDIC" hidden="1">"c6756"</definedName>
    <definedName name="IQ_CHARGE_OFFS_1_4_FAMILY_LOANS_FDIC" hidden="1">"c6714"</definedName>
    <definedName name="IQ_CHARGE_OFFS_AUTO_LOANS_FDIC" hidden="1">"c6708"</definedName>
    <definedName name="IQ_CHARGE_OFFS_CL_LOANS_FDIC" hidden="1">"c6709"</definedName>
    <definedName name="IQ_CHARGE_OFFS_COMMERCIAL_INDUSTRIAL_FDIC" hidden="1">"c6759"</definedName>
    <definedName name="IQ_CHARGE_OFFS_COMMERCIAL_RE_FDIC" hidden="1">"c6754"</definedName>
    <definedName name="IQ_CHARGE_OFFS_COMMERCIAL_RE_NOT_SECURED_FDIC" hidden="1">"c6764"</definedName>
    <definedName name="IQ_CHARGE_OFFS_CONSTRUCTION_DEVELOPMENT_FDIC" hidden="1">"c6753"</definedName>
    <definedName name="IQ_CHARGE_OFFS_CREDIT_CARDS_FDIC" hidden="1">"c6761"</definedName>
    <definedName name="IQ_CHARGE_OFFS_CREDIT_CARDS_RECEIVABLES_FDIC" hidden="1">"c6711"</definedName>
    <definedName name="IQ_CHARGE_OFFS_GROSS" hidden="1">"c162"</definedName>
    <definedName name="IQ_CHARGE_OFFS_HOME_EQUITY_FDIC" hidden="1">"c6757"</definedName>
    <definedName name="IQ_CHARGE_OFFS_HOME_EQUITY_LINES_FDIC" hidden="1">"c6712"</definedName>
    <definedName name="IQ_CHARGE_OFFS_INDIVIDUALS_FDIC" hidden="1">"c6760"</definedName>
    <definedName name="IQ_CHARGE_OFFS_MULTI_FAMILY_FDIC" hidden="1">"c6755"</definedName>
    <definedName name="IQ_CHARGE_OFFS_NET" hidden="1">"c163"</definedName>
    <definedName name="IQ_CHARGE_OFFS_OTHER_1_4_FAMILY_FDIC" hidden="1">"c6758"</definedName>
    <definedName name="IQ_CHARGE_OFFS_OTHER_CONSUMER_LOANS_FDIC" hidden="1">"c6710"</definedName>
    <definedName name="IQ_CHARGE_OFFS_OTHER_INDIVIDUAL_FDIC" hidden="1">"c6762"</definedName>
    <definedName name="IQ_CHARGE_OFFS_OTHER_LOANS_FDIC" hidden="1">"c6763"</definedName>
    <definedName name="IQ_CHARGE_OFFS_OTHER_LOANS_OTHER_FDIC" hidden="1">"c6713"</definedName>
    <definedName name="IQ_CHARGE_OFFS_RE_LOANS_FDIC" hidden="1">"c6752"</definedName>
    <definedName name="IQ_CHARGE_OFFS_RECOVERED" hidden="1">"c164"</definedName>
    <definedName name="IQ_CHARGE_OFFS_TOTAL_AVG_LOANS" hidden="1">"c165"</definedName>
    <definedName name="IQ_CHICAGO_PMI" hidden="1">"c6829"</definedName>
    <definedName name="IQ_CHICAGO_PMI_APR" hidden="1">"c7489"</definedName>
    <definedName name="IQ_CHICAGO_PMI_APR_FC" hidden="1">"c8369"</definedName>
    <definedName name="IQ_CHICAGO_PMI_FC" hidden="1">"c7709"</definedName>
    <definedName name="IQ_CHICAGO_PMI_POP" hidden="1">"c7049"</definedName>
    <definedName name="IQ_CHICAGO_PMI_POP_FC" hidden="1">"c7929"</definedName>
    <definedName name="IQ_CHICAGO_PMI_YOY" hidden="1">"c7269"</definedName>
    <definedName name="IQ_CHICAGO_PMI_YOY_FC" hidden="1">"c8149"</definedName>
    <definedName name="IQ_CITY" hidden="1">"c166"</definedName>
    <definedName name="IQ_CL_AP" hidden="1">"c8884"</definedName>
    <definedName name="IQ_CL_AP_ABS" hidden="1">"c8903"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NAME_AP" hidden="1">"c8922"</definedName>
    <definedName name="IQ_CL_NAME_AP_ABS" hidden="1">"c8941"</definedName>
    <definedName name="IQ_CL_OBLIGATION_IMMEDIATE" hidden="1">"c2253"</definedName>
    <definedName name="IQ_CLAIMS_ADJUSTMENT_EXP_PC_FFIEC" hidden="1">"c13100"</definedName>
    <definedName name="IQ_CLASS_MARKETCAP" hidden="1">"c13512"</definedName>
    <definedName name="IQ_CLASS_SHARESOUTSTANDING" hidden="1">"c13513"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ABLE_END_OS" hidden="1">"c5809"</definedName>
    <definedName name="IQ_CLASSA_OPTIONS_EXERCISED" hidden="1">"c2681"</definedName>
    <definedName name="IQ_CLASSA_OPTIONS_GRANTED" hidden="1">"c2680"</definedName>
    <definedName name="IQ_CLASSA_OPTIONS_STRIKE_PRICE_BEG_OS" hidden="1">"c5810"</definedName>
    <definedName name="IQ_CLASSA_OPTIONS_STRIKE_PRICE_CANCELLED" hidden="1">"c5812"</definedName>
    <definedName name="IQ_CLASSA_OPTIONS_STRIKE_PRICE_EXERCISABLE" hidden="1">"c5813"</definedName>
    <definedName name="IQ_CLASSA_OPTIONS_STRIKE_PRICE_EXERCISED" hidden="1">"c5811"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D_END_1_4_FIRST_LIENS_TRADING_DOM_FFIEC" hidden="1">"c12928"</definedName>
    <definedName name="IQ_CLOSED_END_1_4_JR_LIENS_LL_REC_DOM_FFIEC" hidden="1">"c12904"</definedName>
    <definedName name="IQ_CLOSED_END_1_4_JUNIOR_LIENS_TRADING_DOM_FFIEC" hidden="1">"c12929"</definedName>
    <definedName name="IQ_CLOSED_END_SEC_1_4_1ST_LIENS_CHARGE_OFFS_FFIEC" hidden="1">"c13169"</definedName>
    <definedName name="IQ_CLOSED_END_SEC_1_4_1ST_LIENS_DUE_30_89_FFIEC" hidden="1">"c13261"</definedName>
    <definedName name="IQ_CLOSED_END_SEC_1_4_1ST_LIENS_DUE_90_FFIEC" hidden="1">"c13289"</definedName>
    <definedName name="IQ_CLOSED_END_SEC_1_4_1ST_LIENS_NON_ACCRUAL_FFIEC" hidden="1">"c13315"</definedName>
    <definedName name="IQ_CLOSED_END_SEC_1_4_1ST_LIENS_RECOV_FFIEC" hidden="1">"c13191"</definedName>
    <definedName name="IQ_CLOSED_END_SEC_1_4_JR_LIENS_CHARGE_OFFS_FFIEC" hidden="1">"c13170"</definedName>
    <definedName name="IQ_CLOSED_END_SEC_1_4_JR_LIENS_DUE_30_89_FFIEC" hidden="1">"c13262"</definedName>
    <definedName name="IQ_CLOSED_END_SEC_1_4_JR_LIENS_DUE_90_FFIEC" hidden="1">"c13290"</definedName>
    <definedName name="IQ_CLOSED_END_SEC_1_4_JR_LIENS_NON_ACCRUAL_FFIEC" hidden="1">"c13316"</definedName>
    <definedName name="IQ_CLOSED_END_SEC_1_4_JR_LIENS_RECOV_FFIEC" hidden="1">"c13192"</definedName>
    <definedName name="IQ_CLOSED_END_SECURED_1_4_FIRST_LIENS_LL_REC_DOM_FFIEC" hidden="1">"c12903"</definedName>
    <definedName name="IQ_CLOSED_LOANS_GROSS_LOANS_FFIEC" hidden="1">"c13399"</definedName>
    <definedName name="IQ_CLOSED_LOANS_RISK_BASED_FFIEC" hidden="1">"c13420"</definedName>
    <definedName name="IQ_CLOSEPRICE" hidden="1">"c174"</definedName>
    <definedName name="IQ_CLOSEPRICE_ADJ" hidden="1">"c2115"</definedName>
    <definedName name="IQ_CMBS_ISSUED_AVAIL_SALE_FFIEC" hidden="1">"c12800"</definedName>
    <definedName name="IQ_CMBS_ISSUED_FFIEC" hidden="1">"c12786"</definedName>
    <definedName name="IQ_CMO_FDIC" hidden="1">"c6406"</definedName>
    <definedName name="IQ_COGS" hidden="1">"c175"</definedName>
    <definedName name="IQ_COLLATERAL_TYPE" hidden="1">"c8954"</definedName>
    <definedName name="IQ_COLLECTION_DOMESTIC_FDIC" hidden="1">"c6387"</definedName>
    <definedName name="IQ_COM_TARGET_PRICE" hidden="1">"c13606"</definedName>
    <definedName name="IQ_COM_TARGET_PRICE_CIQ" hidden="1">"c13599"</definedName>
    <definedName name="IQ_COM_TARGET_PRICE_HIGH" hidden="1">"c13607"</definedName>
    <definedName name="IQ_COM_TARGET_PRICE_HIGH_CIQ" hidden="1">"c13600"</definedName>
    <definedName name="IQ_COM_TARGET_PRICE_LOW" hidden="1">"c13608"</definedName>
    <definedName name="IQ_COM_TARGET_PRICE_LOW_CIQ" hidden="1">"c13601"</definedName>
    <definedName name="IQ_COM_TARGET_PRICE_MEDIAN" hidden="1">"c13609"</definedName>
    <definedName name="IQ_COM_TARGET_PRICE_MEDIAN_CIQ" hidden="1">"c13602"</definedName>
    <definedName name="IQ_COM_TARGET_PRICE_NUM" hidden="1">"c13604"</definedName>
    <definedName name="IQ_COM_TARGET_PRICE_NUM_CIQ" hidden="1">"c13597"</definedName>
    <definedName name="IQ_COM_TARGET_PRICE_STDDEV" hidden="1">"c13605"</definedName>
    <definedName name="IQ_COM_TARGET_PRICE_STDDEV_CIQ" hidden="1">"c13598"</definedName>
    <definedName name="IQ_COMBINED_RATIO" hidden="1">"c176"</definedName>
    <definedName name="IQ_COMM_INDUSTRIAL_LOANS_FFIEC" hidden="1">"c12821"</definedName>
    <definedName name="IQ_COMM_INDUSTRIAL_NON_US_LL_REC_FFIEC" hidden="1">"c12888"</definedName>
    <definedName name="IQ_COMM_INDUSTRIAL_US_LL_REC_FFIEC" hidden="1">"c12887"</definedName>
    <definedName name="IQ_COMMERCIAL_BANKS_DEPOSITS_FOREIGN_FDIC" hidden="1">"c6480"</definedName>
    <definedName name="IQ_COMMERCIAL_BANKS_LOANS_FDIC" hidden="1">"c6434"</definedName>
    <definedName name="IQ_COMMERCIAL_BANKS_NONTRANSACTION_ACCOUNTS_FDIC" hidden="1">"c6548"</definedName>
    <definedName name="IQ_COMMERCIAL_BANKS_TOTAL_DEPOSITS_FDIC" hidden="1">"c6474"</definedName>
    <definedName name="IQ_COMMERCIAL_BANKS_TOTAL_LOANS_FOREIGN_FDIC" hidden="1">"c6444"</definedName>
    <definedName name="IQ_COMMERCIAL_BANKS_TRANSACTION_ACCOUNTS_FDIC" hidden="1">"c6540"</definedName>
    <definedName name="IQ_COMMERCIAL_DOM" hidden="1">"c177"</definedName>
    <definedName name="IQ_COMMERCIAL_FIRE_WRITTEN" hidden="1">"c178"</definedName>
    <definedName name="IQ_COMMERCIAL_INDUSTRIAL_CHARGE_OFFS_FDIC" hidden="1">"c6598"</definedName>
    <definedName name="IQ_COMMERCIAL_INDUSTRIAL_GROSS_LOANS_FFIEC" hidden="1">"c13410"</definedName>
    <definedName name="IQ_COMMERCIAL_INDUSTRIAL_LOANS_DUE_30_89_FFIEC" hidden="1">"c13271"</definedName>
    <definedName name="IQ_COMMERCIAL_INDUSTRIAL_LOANS_DUE_90_FFIEC" hidden="1">"c13297"</definedName>
    <definedName name="IQ_COMMERCIAL_INDUSTRIAL_LOANS_LL_REC_DOM_FFIEC" hidden="1">"c12910"</definedName>
    <definedName name="IQ_COMMERCIAL_INDUSTRIAL_LOANS_NET_FDIC" hidden="1">"c6317"</definedName>
    <definedName name="IQ_COMMERCIAL_INDUSTRIAL_LOANS_NON_ACCRUAL_FFIEC" hidden="1">"c13323"</definedName>
    <definedName name="IQ_COMMERCIAL_INDUSTRIAL_NET_CHARGE_OFFS_FDIC" hidden="1">"c6636"</definedName>
    <definedName name="IQ_COMMERCIAL_INDUSTRIAL_NON_US_CHARGE_OFFS_FFIEC" hidden="1">"c13179"</definedName>
    <definedName name="IQ_COMMERCIAL_INDUSTRIAL_NON_US_RECOV_FFIEC" hidden="1">"c13201"</definedName>
    <definedName name="IQ_COMMERCIAL_INDUSTRIAL_RECOVERIES_FDIC" hidden="1">"c6617"</definedName>
    <definedName name="IQ_COMMERCIAL_INDUSTRIAL_RISK_BASED_FFIEC" hidden="1">"c13431"</definedName>
    <definedName name="IQ_COMMERCIAL_INDUSTRIAL_TOTAL_LOANS_FOREIGN_FDIC" hidden="1">"c6451"</definedName>
    <definedName name="IQ_COMMERCIAL_INDUSTRIAL_TRADING_DOM_FFIEC" hidden="1">"c12932"</definedName>
    <definedName name="IQ_COMMERCIAL_INDUSTRIAL_US_CHARGE_OFFS_FFIEC" hidden="1">"c13178"</definedName>
    <definedName name="IQ_COMMERCIAL_INDUSTRIAL_US_RECOV_FFIEC" hidden="1">"c13200"</definedName>
    <definedName name="IQ_COMMERCIAL_MORT" hidden="1">"c179"</definedName>
    <definedName name="IQ_COMMERCIAL_OTHER_LOC_FFIEC" hidden="1">"c13253"</definedName>
    <definedName name="IQ_COMMERCIAL_PAPER_ASSETS_TOT_FFIEC" hidden="1">"c13449"</definedName>
    <definedName name="IQ_COMMERCIAL_PAPER_FFIEC" hidden="1">"c12863"</definedName>
    <definedName name="IQ_COMMERCIAL_RE_CONSTRUCTION_LAND_DEV_FDIC" hidden="1">"c6526"</definedName>
    <definedName name="IQ_COMMERCIAL_RE_GROSS_LOANS_FFIEC" hidden="1">"c13400"</definedName>
    <definedName name="IQ_COMMERCIAL_RE_LOANS_FDIC" hidden="1">"c6312"</definedName>
    <definedName name="IQ_COMMERCIAL_RE_RISK_BASED_FFIEC" hidden="1">"c13421"</definedName>
    <definedName name="IQ_COMMISS_FEES" hidden="1">"c180"</definedName>
    <definedName name="IQ_COMMISSION_DEF" hidden="1">"c181"</definedName>
    <definedName name="IQ_COMMITMENTS_BUY_SEC_OTHER_OFF_BS_FFIEC" hidden="1">"c13128"</definedName>
    <definedName name="IQ_COMMITMENTS_COMMERCIAL_RE_UNUSED_FFIEC" hidden="1">"c13243"</definedName>
    <definedName name="IQ_COMMITMENTS_MATURITY_EXCEEDING_1YR_FDIC" hidden="1">"c6531"</definedName>
    <definedName name="IQ_COMMITMENTS_NOT_SECURED_RE_FDIC" hidden="1">"c6528"</definedName>
    <definedName name="IQ_COMMITMENTS_SECURED_RE_FDIC" hidden="1">"c6527"</definedName>
    <definedName name="IQ_COMMITMENTS_SELL_SEC_OTHER_OFF_BS_FFIEC" hidden="1">"c13129"</definedName>
    <definedName name="IQ_COMMODITY_EXPOSURE_FFIEC" hidden="1">"c13061"</definedName>
    <definedName name="IQ_COMMODITY_EXPOSURES_FDIC" hidden="1">"c6665"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" hidden="1">"c6202"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CAGR" hidden="1">"c6060"</definedName>
    <definedName name="IQ_COMMON_EQUITY_10YR_ANN_GROWTH" hidden="1">"c191"</definedName>
    <definedName name="IQ_COMMON_EQUITY_1YR_ANN_GROWTH" hidden="1">"c192"</definedName>
    <definedName name="IQ_COMMON_EQUITY_2YR_ANN_CAGR" hidden="1">"c6061"</definedName>
    <definedName name="IQ_COMMON_EQUITY_2YR_ANN_GROWTH" hidden="1">"c193"</definedName>
    <definedName name="IQ_COMMON_EQUITY_3YR_ANN_CAGR" hidden="1">"c6062"</definedName>
    <definedName name="IQ_COMMON_EQUITY_3YR_ANN_GROWTH" hidden="1">"c194"</definedName>
    <definedName name="IQ_COMMON_EQUITY_5YR_ANN_CAGR" hidden="1">"c6063"</definedName>
    <definedName name="IQ_COMMON_EQUITY_5YR_ANN_GROWTH" hidden="1">"c195"</definedName>
    <definedName name="IQ_COMMON_EQUITY_7YR_ANN_CAGR" hidden="1">"c6064"</definedName>
    <definedName name="IQ_COMMON_EQUITY_7YR_ANN_GROWTH" hidden="1">"c196"</definedName>
    <definedName name="IQ_COMMON_FDIC" hidden="1">"c6350"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" hidden="1">"c6203"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" hidden="1">"c6204"</definedName>
    <definedName name="IQ_COMMON_REP_REIT" hidden="1">"c211"</definedName>
    <definedName name="IQ_COMMON_REP_UTI" hidden="1">"c212"</definedName>
    <definedName name="IQ_COMMON_STOCK" hidden="1">"c1358"</definedName>
    <definedName name="IQ_COMMON_STOCK_FFIEC" hidden="1">"c12876"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NOTE" hidden="1">"c6792"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MPOSITE_CYCLICAL_IND" hidden="1">"c6830"</definedName>
    <definedName name="IQ_COMPOSITE_CYCLICAL_IND_APR" hidden="1">"c7490"</definedName>
    <definedName name="IQ_COMPOSITE_CYCLICAL_IND_APR_FC" hidden="1">"c8370"</definedName>
    <definedName name="IQ_COMPOSITE_CYCLICAL_IND_FC" hidden="1">"c7710"</definedName>
    <definedName name="IQ_COMPOSITE_CYCLICAL_IND_POP" hidden="1">"c7050"</definedName>
    <definedName name="IQ_COMPOSITE_CYCLICAL_IND_POP_FC" hidden="1">"c7930"</definedName>
    <definedName name="IQ_COMPOSITE_CYCLICAL_IND_YOY" hidden="1">"c7270"</definedName>
    <definedName name="IQ_COMPOSITE_CYCLICAL_IND_YOY_FC" hidden="1">"c8150"</definedName>
    <definedName name="IQ_CONSOL_BEDS" hidden="1">"c8782"</definedName>
    <definedName name="IQ_CONSOL_PROP_OPERATIONAL" hidden="1">"c8758"</definedName>
    <definedName name="IQ_CONSOL_PROP_OTHER_OWNED" hidden="1">"c8760"</definedName>
    <definedName name="IQ_CONSOL_PROP_TOTAL" hidden="1">"c8761"</definedName>
    <definedName name="IQ_CONSOL_PROP_UNDEVELOPED" hidden="1">"c8759"</definedName>
    <definedName name="IQ_CONSOL_ROOMS" hidden="1">"c8786"</definedName>
    <definedName name="IQ_CONSOL_SQ_FT_OPERATIONAL" hidden="1">"c8774"</definedName>
    <definedName name="IQ_CONSOL_SQ_FT_OTHER_OWNED" hidden="1">"c8776"</definedName>
    <definedName name="IQ_CONSOL_SQ_FT_TOTAL" hidden="1">"c8777"</definedName>
    <definedName name="IQ_CONSOL_SQ_FT_UNDEVELOPED" hidden="1">"c8775"</definedName>
    <definedName name="IQ_CONSOL_UNITS_OPERATIONAL" hidden="1">"c8766"</definedName>
    <definedName name="IQ_CONSOL_UNITS_OTHER_OWNED" hidden="1">"c8768"</definedName>
    <definedName name="IQ_CONSOL_UNITS_TOTAL" hidden="1">"c8769"</definedName>
    <definedName name="IQ_CONSOL_UNITS_UNDEVELOPED" hidden="1">"c8767"</definedName>
    <definedName name="IQ_CONSOLIDATED_ASSETS_QUARTERLY_AVG_FFIEC" hidden="1">"c13087"</definedName>
    <definedName name="IQ_CONST_LAND_DEVELOP_OTHER_DOM_CHARGE_OFFS_FFIEC" hidden="1">"c13628"</definedName>
    <definedName name="IQ_CONST_LAND_DEVELOP_OTHER_DOM_RECOV_FFIEC" hidden="1">"c13632"</definedName>
    <definedName name="IQ_CONSTRUCTION_DEV_LOANS_FDIC" hidden="1">"c6313"</definedName>
    <definedName name="IQ_CONSTRUCTION_LAND_DEVELOPMENT_CHARGE_OFFS_FDIC" hidden="1">"c6594"</definedName>
    <definedName name="IQ_CONSTRUCTION_LAND_DEVELOPMENT_NET_CHARGE_OFFS_FDIC" hidden="1">"c6632"</definedName>
    <definedName name="IQ_CONSTRUCTION_LAND_DEVELOPMENT_RECOVERIES_FDIC" hidden="1">"c6613"</definedName>
    <definedName name="IQ_CONSTRUCTION_LL_REC_DOM_FFIEC" hidden="1">"c12900"</definedName>
    <definedName name="IQ_CONSTRUCTION_LOANS" hidden="1">"c222"</definedName>
    <definedName name="IQ_CONSTRUCTION_LOANS_DOM_DUE_30_89_FFIEC" hidden="1">"c13256"</definedName>
    <definedName name="IQ_CONSTRUCTION_LOANS_DOM_DUE_90_FFIEC" hidden="1">"c13284"</definedName>
    <definedName name="IQ_CONSTRUCTION_LOANS_DOM_NON_ACCRUAL_FFIEC" hidden="1">"c13310"</definedName>
    <definedName name="IQ_CONSTRUCTION_LOANS_GROSS_LOANS_FFIEC" hidden="1">"c13401"</definedName>
    <definedName name="IQ_CONSTRUCTION_RISK_BASED_FFIEC" hidden="1">"c13422"</definedName>
    <definedName name="IQ_CONSULTING_FFIEC" hidden="1">"c13055"</definedName>
    <definedName name="IQ_CONSUMER_COMFORT" hidden="1">"c6831"</definedName>
    <definedName name="IQ_CONSUMER_COMFORT_APR" hidden="1">"c7491"</definedName>
    <definedName name="IQ_CONSUMER_COMFORT_APR_FC" hidden="1">"c8371"</definedName>
    <definedName name="IQ_CONSUMER_COMFORT_FC" hidden="1">"c7711"</definedName>
    <definedName name="IQ_CONSUMER_COMFORT_POP" hidden="1">"c7051"</definedName>
    <definedName name="IQ_CONSUMER_COMFORT_POP_FC" hidden="1">"c7931"</definedName>
    <definedName name="IQ_CONSUMER_CONFIDENCE" hidden="1">"c6832"</definedName>
    <definedName name="IQ_CONSUMER_CONFIDENCE_APR" hidden="1">"c7492"</definedName>
    <definedName name="IQ_CONSUMER_CONFIDENCE_APR_FC" hidden="1">"c8372"</definedName>
    <definedName name="IQ_CONSUMER_CONFIDENCE_FC" hidden="1">"c7712"</definedName>
    <definedName name="IQ_CONSUMER_CONFIDENCE_POP" hidden="1">"c7052"</definedName>
    <definedName name="IQ_CONSUMER_CONFIDENCE_POP_FC" hidden="1">"c7932"</definedName>
    <definedName name="IQ_CONSUMER_CONFIDENCE_YOY" hidden="1">"c7272"</definedName>
    <definedName name="IQ_CONSUMER_CONFIDENCE_YOY_FC" hidden="1">"c8152"</definedName>
    <definedName name="IQ_CONSUMER_LEASES_LL_REC_FFIEC" hidden="1">"c12895"</definedName>
    <definedName name="IQ_CONSUMER_LENDING" hidden="1">"c6833"</definedName>
    <definedName name="IQ_CONSUMER_LENDING_APR" hidden="1">"c7493"</definedName>
    <definedName name="IQ_CONSUMER_LENDING_APR_FC" hidden="1">"c8373"</definedName>
    <definedName name="IQ_CONSUMER_LENDING_FC" hidden="1">"c7713"</definedName>
    <definedName name="IQ_CONSUMER_LENDING_GROSS" hidden="1">"c6878"</definedName>
    <definedName name="IQ_CONSUMER_LENDING_GROSS_APR" hidden="1">"c7538"</definedName>
    <definedName name="IQ_CONSUMER_LENDING_GROSS_APR_FC" hidden="1">"c8418"</definedName>
    <definedName name="IQ_CONSUMER_LENDING_GROSS_FC" hidden="1">"c7758"</definedName>
    <definedName name="IQ_CONSUMER_LENDING_GROSS_POP" hidden="1">"c7098"</definedName>
    <definedName name="IQ_CONSUMER_LENDING_GROSS_POP_FC" hidden="1">"c7978"</definedName>
    <definedName name="IQ_CONSUMER_LENDING_GROSS_YOY" hidden="1">"c7318"</definedName>
    <definedName name="IQ_CONSUMER_LENDING_GROSS_YOY_FC" hidden="1">"c8198"</definedName>
    <definedName name="IQ_CONSUMER_LENDING_NET" hidden="1">"c6922"</definedName>
    <definedName name="IQ_CONSUMER_LENDING_NET_APR" hidden="1">"c7582"</definedName>
    <definedName name="IQ_CONSUMER_LENDING_NET_APR_FC" hidden="1">"c8462"</definedName>
    <definedName name="IQ_CONSUMER_LENDING_NET_FC" hidden="1">"c7802"</definedName>
    <definedName name="IQ_CONSUMER_LENDING_NET_POP" hidden="1">"c7142"</definedName>
    <definedName name="IQ_CONSUMER_LENDING_NET_POP_FC" hidden="1">"c8022"</definedName>
    <definedName name="IQ_CONSUMER_LENDING_NET_YOY" hidden="1">"c7362"</definedName>
    <definedName name="IQ_CONSUMER_LENDING_NET_YOY_FC" hidden="1">"c8242"</definedName>
    <definedName name="IQ_CONSUMER_LENDING_POP" hidden="1">"c7053"</definedName>
    <definedName name="IQ_CONSUMER_LENDING_POP_FC" hidden="1">"c7933"</definedName>
    <definedName name="IQ_CONSUMER_LENDING_TOTAL" hidden="1">"c7018"</definedName>
    <definedName name="IQ_CONSUMER_LENDING_TOTAL_APR" hidden="1">"c7678"</definedName>
    <definedName name="IQ_CONSUMER_LENDING_TOTAL_APR_FC" hidden="1">"c8558"</definedName>
    <definedName name="IQ_CONSUMER_LENDING_TOTAL_FC" hidden="1">"c7898"</definedName>
    <definedName name="IQ_CONSUMER_LENDING_TOTAL_POP" hidden="1">"c7238"</definedName>
    <definedName name="IQ_CONSUMER_LENDING_TOTAL_POP_FC" hidden="1">"c8118"</definedName>
    <definedName name="IQ_CONSUMER_LENDING_TOTAL_YOY" hidden="1">"c7458"</definedName>
    <definedName name="IQ_CONSUMER_LENDING_TOTAL_YOY_FC" hidden="1">"c8338"</definedName>
    <definedName name="IQ_CONSUMER_LENDING_YOY" hidden="1">"c7273"</definedName>
    <definedName name="IQ_CONSUMER_LENDING_YOY_FC" hidden="1">"c8153"</definedName>
    <definedName name="IQ_CONSUMER_LOANS" hidden="1">"c223"</definedName>
    <definedName name="IQ_CONSUMER_LOANS_LL_REC_DOM_FFIEC" hidden="1">"c12911"</definedName>
    <definedName name="IQ_CONSUMER_SPENDING" hidden="1">"c6834"</definedName>
    <definedName name="IQ_CONSUMER_SPENDING_APR" hidden="1">"c7494"</definedName>
    <definedName name="IQ_CONSUMER_SPENDING_APR_FC" hidden="1">"c8374"</definedName>
    <definedName name="IQ_CONSUMER_SPENDING_DURABLE" hidden="1">"c6835"</definedName>
    <definedName name="IQ_CONSUMER_SPENDING_DURABLE_APR" hidden="1">"c7495"</definedName>
    <definedName name="IQ_CONSUMER_SPENDING_DURABLE_APR_FC" hidden="1">"c8375"</definedName>
    <definedName name="IQ_CONSUMER_SPENDING_DURABLE_FC" hidden="1">"c7715"</definedName>
    <definedName name="IQ_CONSUMER_SPENDING_DURABLE_POP" hidden="1">"c7055"</definedName>
    <definedName name="IQ_CONSUMER_SPENDING_DURABLE_POP_FC" hidden="1">"c7935"</definedName>
    <definedName name="IQ_CONSUMER_SPENDING_DURABLE_REAL" hidden="1">"c6964"</definedName>
    <definedName name="IQ_CONSUMER_SPENDING_DURABLE_REAL_APR" hidden="1">"c7624"</definedName>
    <definedName name="IQ_CONSUMER_SPENDING_DURABLE_REAL_APR_FC" hidden="1">"c8504"</definedName>
    <definedName name="IQ_CONSUMER_SPENDING_DURABLE_REAL_FC" hidden="1">"c7844"</definedName>
    <definedName name="IQ_CONSUMER_SPENDING_DURABLE_REAL_POP" hidden="1">"c7184"</definedName>
    <definedName name="IQ_CONSUMER_SPENDING_DURABLE_REAL_POP_FC" hidden="1">"c8064"</definedName>
    <definedName name="IQ_CONSUMER_SPENDING_DURABLE_REAL_SAAR" hidden="1">"c6965"</definedName>
    <definedName name="IQ_CONSUMER_SPENDING_DURABLE_REAL_SAAR_APR" hidden="1">"c7625"</definedName>
    <definedName name="IQ_CONSUMER_SPENDING_DURABLE_REAL_SAAR_APR_FC" hidden="1">"c8505"</definedName>
    <definedName name="IQ_CONSUMER_SPENDING_DURABLE_REAL_SAAR_FC" hidden="1">"c7845"</definedName>
    <definedName name="IQ_CONSUMER_SPENDING_DURABLE_REAL_SAAR_POP" hidden="1">"c7185"</definedName>
    <definedName name="IQ_CONSUMER_SPENDING_DURABLE_REAL_SAAR_POP_FC" hidden="1">"c8065"</definedName>
    <definedName name="IQ_CONSUMER_SPENDING_DURABLE_REAL_SAAR_YOY" hidden="1">"c7405"</definedName>
    <definedName name="IQ_CONSUMER_SPENDING_DURABLE_REAL_SAAR_YOY_FC" hidden="1">"c8285"</definedName>
    <definedName name="IQ_CONSUMER_SPENDING_DURABLE_REAL_YOY" hidden="1">"c7404"</definedName>
    <definedName name="IQ_CONSUMER_SPENDING_DURABLE_REAL_YOY_FC" hidden="1">"c8284"</definedName>
    <definedName name="IQ_CONSUMER_SPENDING_DURABLE_YOY" hidden="1">"c7275"</definedName>
    <definedName name="IQ_CONSUMER_SPENDING_DURABLE_YOY_FC" hidden="1">"c8155"</definedName>
    <definedName name="IQ_CONSUMER_SPENDING_FC" hidden="1">"c7714"</definedName>
    <definedName name="IQ_CONSUMER_SPENDING_NONDURABLE" hidden="1">"c6836"</definedName>
    <definedName name="IQ_CONSUMER_SPENDING_NONDURABLE_APR" hidden="1">"c7496"</definedName>
    <definedName name="IQ_CONSUMER_SPENDING_NONDURABLE_APR_FC" hidden="1">"c8376"</definedName>
    <definedName name="IQ_CONSUMER_SPENDING_NONDURABLE_FC" hidden="1">"c7716"</definedName>
    <definedName name="IQ_CONSUMER_SPENDING_NONDURABLE_POP" hidden="1">"c7056"</definedName>
    <definedName name="IQ_CONSUMER_SPENDING_NONDURABLE_POP_FC" hidden="1">"c7936"</definedName>
    <definedName name="IQ_CONSUMER_SPENDING_NONDURABLE_REAL" hidden="1">"c6966"</definedName>
    <definedName name="IQ_CONSUMER_SPENDING_NONDURABLE_REAL_APR" hidden="1">"c7626"</definedName>
    <definedName name="IQ_CONSUMER_SPENDING_NONDURABLE_REAL_APR_FC" hidden="1">"c8506"</definedName>
    <definedName name="IQ_CONSUMER_SPENDING_NONDURABLE_REAL_FC" hidden="1">"c7846"</definedName>
    <definedName name="IQ_CONSUMER_SPENDING_NONDURABLE_REAL_POP" hidden="1">"c7186"</definedName>
    <definedName name="IQ_CONSUMER_SPENDING_NONDURABLE_REAL_POP_FC" hidden="1">"c8066"</definedName>
    <definedName name="IQ_CONSUMER_SPENDING_NONDURABLE_REAL_SAAR" hidden="1">"c6967"</definedName>
    <definedName name="IQ_CONSUMER_SPENDING_NONDURABLE_REAL_SAAR_APR" hidden="1">"c7627"</definedName>
    <definedName name="IQ_CONSUMER_SPENDING_NONDURABLE_REAL_SAAR_APR_FC" hidden="1">"c8507"</definedName>
    <definedName name="IQ_CONSUMER_SPENDING_NONDURABLE_REAL_SAAR_FC" hidden="1">"c7847"</definedName>
    <definedName name="IQ_CONSUMER_SPENDING_NONDURABLE_REAL_SAAR_POP" hidden="1">"c7187"</definedName>
    <definedName name="IQ_CONSUMER_SPENDING_NONDURABLE_REAL_SAAR_POP_FC" hidden="1">"c8067"</definedName>
    <definedName name="IQ_CONSUMER_SPENDING_NONDURABLE_REAL_SAAR_YOY" hidden="1">"c7407"</definedName>
    <definedName name="IQ_CONSUMER_SPENDING_NONDURABLE_REAL_SAAR_YOY_FC" hidden="1">"c8287"</definedName>
    <definedName name="IQ_CONSUMER_SPENDING_NONDURABLE_REAL_YOY" hidden="1">"c7406"</definedName>
    <definedName name="IQ_CONSUMER_SPENDING_NONDURABLE_REAL_YOY_FC" hidden="1">"c8286"</definedName>
    <definedName name="IQ_CONSUMER_SPENDING_NONDURABLE_YOY" hidden="1">"c7276"</definedName>
    <definedName name="IQ_CONSUMER_SPENDING_NONDURABLE_YOY_FC" hidden="1">"c8156"</definedName>
    <definedName name="IQ_CONSUMER_SPENDING_POP" hidden="1">"c7054"</definedName>
    <definedName name="IQ_CONSUMER_SPENDING_POP_FC" hidden="1">"c7934"</definedName>
    <definedName name="IQ_CONSUMER_SPENDING_REAL" hidden="1">"c6963"</definedName>
    <definedName name="IQ_CONSUMER_SPENDING_REAL_APR" hidden="1">"c7623"</definedName>
    <definedName name="IQ_CONSUMER_SPENDING_REAL_APR_FC" hidden="1">"c8503"</definedName>
    <definedName name="IQ_CONSUMER_SPENDING_REAL_FC" hidden="1">"c7843"</definedName>
    <definedName name="IQ_CONSUMER_SPENDING_REAL_POP" hidden="1">"c7183"</definedName>
    <definedName name="IQ_CONSUMER_SPENDING_REAL_POP_FC" hidden="1">"c8063"</definedName>
    <definedName name="IQ_CONSUMER_SPENDING_REAL_SAAR" hidden="1">"c6968"</definedName>
    <definedName name="IQ_CONSUMER_SPENDING_REAL_SAAR_APR" hidden="1">"c7628"</definedName>
    <definedName name="IQ_CONSUMER_SPENDING_REAL_SAAR_APR_FC" hidden="1">"c8508"</definedName>
    <definedName name="IQ_CONSUMER_SPENDING_REAL_SAAR_FC" hidden="1">"c7848"</definedName>
    <definedName name="IQ_CONSUMER_SPENDING_REAL_SAAR_POP" hidden="1">"c7188"</definedName>
    <definedName name="IQ_CONSUMER_SPENDING_REAL_SAAR_POP_FC" hidden="1">"c8068"</definedName>
    <definedName name="IQ_CONSUMER_SPENDING_REAL_SAAR_YOY" hidden="1">"c7408"</definedName>
    <definedName name="IQ_CONSUMER_SPENDING_REAL_SAAR_YOY_FC" hidden="1">"c8288"</definedName>
    <definedName name="IQ_CONSUMER_SPENDING_REAL_USD_APR_FC" hidden="1">"c11921"</definedName>
    <definedName name="IQ_CONSUMER_SPENDING_REAL_USD_FC" hidden="1">"c11918"</definedName>
    <definedName name="IQ_CONSUMER_SPENDING_REAL_USD_POP_FC" hidden="1">"c11919"</definedName>
    <definedName name="IQ_CONSUMER_SPENDING_REAL_USD_YOY_FC" hidden="1">"c11920"</definedName>
    <definedName name="IQ_CONSUMER_SPENDING_REAL_YOY" hidden="1">"c7403"</definedName>
    <definedName name="IQ_CONSUMER_SPENDING_REAL_YOY_FC" hidden="1">"c8283"</definedName>
    <definedName name="IQ_CONSUMER_SPENDING_SERVICES" hidden="1">"c6837"</definedName>
    <definedName name="IQ_CONSUMER_SPENDING_SERVICES_APR" hidden="1">"c7497"</definedName>
    <definedName name="IQ_CONSUMER_SPENDING_SERVICES_APR_FC" hidden="1">"c8377"</definedName>
    <definedName name="IQ_CONSUMER_SPENDING_SERVICES_FC" hidden="1">"c7717"</definedName>
    <definedName name="IQ_CONSUMER_SPENDING_SERVICES_POP" hidden="1">"c7057"</definedName>
    <definedName name="IQ_CONSUMER_SPENDING_SERVICES_POP_FC" hidden="1">"c7937"</definedName>
    <definedName name="IQ_CONSUMER_SPENDING_SERVICES_REAL" hidden="1">"c6969"</definedName>
    <definedName name="IQ_CONSUMER_SPENDING_SERVICES_REAL_APR" hidden="1">"c7629"</definedName>
    <definedName name="IQ_CONSUMER_SPENDING_SERVICES_REAL_APR_FC" hidden="1">"c8509"</definedName>
    <definedName name="IQ_CONSUMER_SPENDING_SERVICES_REAL_FC" hidden="1">"c7849"</definedName>
    <definedName name="IQ_CONSUMER_SPENDING_SERVICES_REAL_POP" hidden="1">"c7189"</definedName>
    <definedName name="IQ_CONSUMER_SPENDING_SERVICES_REAL_POP_FC" hidden="1">"c8069"</definedName>
    <definedName name="IQ_CONSUMER_SPENDING_SERVICES_REAL_SAAR" hidden="1">"c6970"</definedName>
    <definedName name="IQ_CONSUMER_SPENDING_SERVICES_REAL_SAAR_APR" hidden="1">"c7630"</definedName>
    <definedName name="IQ_CONSUMER_SPENDING_SERVICES_REAL_SAAR_APR_FC" hidden="1">"c8510"</definedName>
    <definedName name="IQ_CONSUMER_SPENDING_SERVICES_REAL_SAAR_FC" hidden="1">"c7850"</definedName>
    <definedName name="IQ_CONSUMER_SPENDING_SERVICES_REAL_SAAR_POP" hidden="1">"c7190"</definedName>
    <definedName name="IQ_CONSUMER_SPENDING_SERVICES_REAL_SAAR_POP_FC" hidden="1">"c8070"</definedName>
    <definedName name="IQ_CONSUMER_SPENDING_SERVICES_REAL_SAAR_YOY" hidden="1">"c7410"</definedName>
    <definedName name="IQ_CONSUMER_SPENDING_SERVICES_REAL_SAAR_YOY_FC" hidden="1">"c8290"</definedName>
    <definedName name="IQ_CONSUMER_SPENDING_SERVICES_REAL_YOY" hidden="1">"c7409"</definedName>
    <definedName name="IQ_CONSUMER_SPENDING_SERVICES_REAL_YOY_FC" hidden="1">"c8289"</definedName>
    <definedName name="IQ_CONSUMER_SPENDING_SERVICES_YOY" hidden="1">"c7277"</definedName>
    <definedName name="IQ_CONSUMER_SPENDING_SERVICES_YOY_FC" hidden="1">"c8157"</definedName>
    <definedName name="IQ_CONSUMER_SPENDING_YOY" hidden="1">"c7274"</definedName>
    <definedName name="IQ_CONSUMER_SPENDING_YOY_FC" hidden="1">"c8154"</definedName>
    <definedName name="IQ_CONTRACTS_OTHER_COMMODITIES_EQUITIES._FDIC" hidden="1">"c6522"</definedName>
    <definedName name="IQ_CONTRACTS_OTHER_COMMODITIES_EQUITIES_FDIC" hidden="1">"c6522"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E" hidden="1">"c2192"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SION_COMMON_FFIEC" hidden="1">"c12964"</definedName>
    <definedName name="IQ_CONVERSION_PREF_FFIEC" hidden="1">"c12962"</definedName>
    <definedName name="IQ_CONVERT" hidden="1">"c2536"</definedName>
    <definedName name="IQ_CONVERT_PCT" hidden="1">"c2537"</definedName>
    <definedName name="IQ_CONVEXITY" hidden="1">"c2182"</definedName>
    <definedName name="IQ_CONVEYED_TO_OTHERS_FDIC" hidden="1">"c6534"</definedName>
    <definedName name="IQ_CORE_CAPITAL_RATIO_FDIC" hidden="1">"c6745"</definedName>
    <definedName name="IQ_CORE_DEPOSITS_ASSETS_TOT_FFIEC" hidden="1">"c13442"</definedName>
    <definedName name="IQ_CORP_GOODS_PRICE_INDEX_APR_FC_UNUSED" hidden="1">"c8381"</definedName>
    <definedName name="IQ_CORP_GOODS_PRICE_INDEX_APR_FC_UNUSED_UNUSED_UNUSED" hidden="1">"c8381"</definedName>
    <definedName name="IQ_CORP_GOODS_PRICE_INDEX_APR_UNUSED" hidden="1">"c7501"</definedName>
    <definedName name="IQ_CORP_GOODS_PRICE_INDEX_APR_UNUSED_UNUSED_UNUSED" hidden="1">"c7501"</definedName>
    <definedName name="IQ_CORP_GOODS_PRICE_INDEX_FC_UNUSED" hidden="1">"c7721"</definedName>
    <definedName name="IQ_CORP_GOODS_PRICE_INDEX_FC_UNUSED_UNUSED_UNUSED" hidden="1">"c7721"</definedName>
    <definedName name="IQ_CORP_GOODS_PRICE_INDEX_POP_FC_UNUSED" hidden="1">"c7941"</definedName>
    <definedName name="IQ_CORP_GOODS_PRICE_INDEX_POP_FC_UNUSED_UNUSED_UNUSED" hidden="1">"c7941"</definedName>
    <definedName name="IQ_CORP_GOODS_PRICE_INDEX_POP_UNUSED" hidden="1">"c7061"</definedName>
    <definedName name="IQ_CORP_GOODS_PRICE_INDEX_POP_UNUSED_UNUSED_UNUSED" hidden="1">"c7061"</definedName>
    <definedName name="IQ_CORP_GOODS_PRICE_INDEX_UNUSED" hidden="1">"c6841"</definedName>
    <definedName name="IQ_CORP_GOODS_PRICE_INDEX_UNUSED_UNUSED_UNUSED" hidden="1">"c6841"</definedName>
    <definedName name="IQ_CORP_GOODS_PRICE_INDEX_YOY_FC_UNUSED" hidden="1">"c8161"</definedName>
    <definedName name="IQ_CORP_GOODS_PRICE_INDEX_YOY_FC_UNUSED_UNUSED_UNUSED" hidden="1">"c8161"</definedName>
    <definedName name="IQ_CORP_GOODS_PRICE_INDEX_YOY_UNUSED" hidden="1">"c7281"</definedName>
    <definedName name="IQ_CORP_GOODS_PRICE_INDEX_YOY_UNUSED_UNUSED_UNUSED" hidden="1">"c7281"</definedName>
    <definedName name="IQ_CORP_PROFITS" hidden="1">"c6843"</definedName>
    <definedName name="IQ_CORP_PROFITS_AFTER_TAX_SAAR" hidden="1">"c6842"</definedName>
    <definedName name="IQ_CORP_PROFITS_AFTER_TAX_SAAR_APR" hidden="1">"c7502"</definedName>
    <definedName name="IQ_CORP_PROFITS_AFTER_TAX_SAAR_APR_FC" hidden="1">"c8382"</definedName>
    <definedName name="IQ_CORP_PROFITS_AFTER_TAX_SAAR_FC" hidden="1">"c7722"</definedName>
    <definedName name="IQ_CORP_PROFITS_AFTER_TAX_SAAR_POP" hidden="1">"c7062"</definedName>
    <definedName name="IQ_CORP_PROFITS_AFTER_TAX_SAAR_POP_FC" hidden="1">"c7942"</definedName>
    <definedName name="IQ_CORP_PROFITS_AFTER_TAX_SAAR_YOY" hidden="1">"c7282"</definedName>
    <definedName name="IQ_CORP_PROFITS_AFTER_TAX_SAAR_YOY_FC" hidden="1">"c8162"</definedName>
    <definedName name="IQ_CORP_PROFITS_APR" hidden="1">"c7503"</definedName>
    <definedName name="IQ_CORP_PROFITS_APR_FC" hidden="1">"c8383"</definedName>
    <definedName name="IQ_CORP_PROFITS_FC" hidden="1">"c7723"</definedName>
    <definedName name="IQ_CORP_PROFITS_POP" hidden="1">"c7063"</definedName>
    <definedName name="IQ_CORP_PROFITS_POP_FC" hidden="1">"c7943"</definedName>
    <definedName name="IQ_CORP_PROFITS_SAAR" hidden="1">"c6844"</definedName>
    <definedName name="IQ_CORP_PROFITS_SAAR_APR" hidden="1">"c7504"</definedName>
    <definedName name="IQ_CORP_PROFITS_SAAR_APR_FC" hidden="1">"c8384"</definedName>
    <definedName name="IQ_CORP_PROFITS_SAAR_FC" hidden="1">"c7724"</definedName>
    <definedName name="IQ_CORP_PROFITS_SAAR_POP" hidden="1">"c7064"</definedName>
    <definedName name="IQ_CORP_PROFITS_SAAR_POP_FC" hidden="1">"c7944"</definedName>
    <definedName name="IQ_CORP_PROFITS_SAAR_YOY" hidden="1">"c7284"</definedName>
    <definedName name="IQ_CORP_PROFITS_SAAR_YOY_FC" hidden="1">"c8164"</definedName>
    <definedName name="IQ_CORP_PROFITS_YOY" hidden="1">"c7283"</definedName>
    <definedName name="IQ_CORP_PROFITS_YOY_FC" hidden="1">"c8163"</definedName>
    <definedName name="IQ_COST_BORROWED_FUNDS_FFIEC" hidden="1">"c13492"</definedName>
    <definedName name="IQ_COST_BORROWING" hidden="1">"c2936"</definedName>
    <definedName name="IQ_COST_BORROWINGS" hidden="1">"c225"</definedName>
    <definedName name="IQ_COST_CAPITAL_NEW_BUSINESS" hidden="1">"c9968"</definedName>
    <definedName name="IQ_COST_FOREIGN_DEPOSITS_FFIEC" hidden="1">"c13490"</definedName>
    <definedName name="IQ_COST_FUNDS_PURCHASED_FFIEC" hidden="1">"c13491"</definedName>
    <definedName name="IQ_COST_INT_DEPOSITS_FFIEC" hidden="1">"c13489"</definedName>
    <definedName name="IQ_COST_OF_FUNDING_ASSETS_FDIC" hidden="1">"c6725"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SOLVENCY_CAPITAL_COVERED" hidden="1">"c9965"</definedName>
    <definedName name="IQ_COST_SOLVENCY_CAPITAL_GROUP" hidden="1">"c9951"</definedName>
    <definedName name="IQ_COST_TOTAL_BORROWINGS" hidden="1">"c229"</definedName>
    <definedName name="IQ_COUNTRY_NAME" hidden="1">"c230"</definedName>
    <definedName name="IQ_COUNTRY_NAME_ECON" hidden="1">"c11752"</definedName>
    <definedName name="IQ_COUPON_FORMULA" hidden="1">"c8965"</definedName>
    <definedName name="IQ_COVERED_POPS" hidden="1">"c2124"</definedName>
    <definedName name="IQ_CP" hidden="1">"c2495"</definedName>
    <definedName name="IQ_CP_PCT" hidden="1">"c2496"</definedName>
    <definedName name="IQ_CPI" hidden="1">"c6845"</definedName>
    <definedName name="IQ_CPI_APR" hidden="1">"c7505"</definedName>
    <definedName name="IQ_CPI_APR_FC" hidden="1">"c8385"</definedName>
    <definedName name="IQ_CPI_CORE" hidden="1">"c6838"</definedName>
    <definedName name="IQ_CPI_CORE_APR" hidden="1">"c7498"</definedName>
    <definedName name="IQ_CPI_CORE_POP" hidden="1">"c7058"</definedName>
    <definedName name="IQ_CPI_CORE_YOY" hidden="1">"c7278"</definedName>
    <definedName name="IQ_CPI_FC" hidden="1">"c7725"</definedName>
    <definedName name="IQ_CPI_POP" hidden="1">"c7065"</definedName>
    <definedName name="IQ_CPI_POP_FC" hidden="1">"c7945"</definedName>
    <definedName name="IQ_CPI_YOY" hidden="1">"c7285"</definedName>
    <definedName name="IQ_CPI_YOY_FC" hidden="1">"c8165"</definedName>
    <definedName name="IQ_CQ" hidden="1">5000</definedName>
    <definedName name="IQ_CREDIT_CARD_CHARGE_OFFS_FDIC" hidden="1">"c6652"</definedName>
    <definedName name="IQ_CREDIT_CARD_FEE_BNK" hidden="1">"c231"</definedName>
    <definedName name="IQ_CREDIT_CARD_FEE_FIN" hidden="1">"c1583"</definedName>
    <definedName name="IQ_CREDIT_CARD_GROSS_LOANS_FFIEC" hidden="1">"c13412"</definedName>
    <definedName name="IQ_CREDIT_CARD_INTERCHANGE_FEES_FFIEC" hidden="1">"c13046"</definedName>
    <definedName name="IQ_CREDIT_CARD_LINES_FDIC" hidden="1">"c6525"</definedName>
    <definedName name="IQ_CREDIT_CARD_LINES_UNUSED_FFIEC" hidden="1">"c13242"</definedName>
    <definedName name="IQ_CREDIT_CARD_LOANS_CHARGE_OFFS_FFIEC" hidden="1">"c13180"</definedName>
    <definedName name="IQ_CREDIT_CARD_LOANS_DUE_30_89_FFIEC" hidden="1">"c13272"</definedName>
    <definedName name="IQ_CREDIT_CARD_LOANS_DUE_90_FFIEC" hidden="1">"c13298"</definedName>
    <definedName name="IQ_CREDIT_CARD_LOANS_FDIC" hidden="1">"c6319"</definedName>
    <definedName name="IQ_CREDIT_CARD_LOANS_NON_ACCRUAL_FFIEC" hidden="1">"c13324"</definedName>
    <definedName name="IQ_CREDIT_CARD_LOANS_RECOV_FFIEC" hidden="1">"c13202"</definedName>
    <definedName name="IQ_CREDIT_CARD_NET_CHARGE_OFFS_FDIC" hidden="1">"c6654"</definedName>
    <definedName name="IQ_CREDIT_CARD_RECOVERIES_FDIC" hidden="1">"c6653"</definedName>
    <definedName name="IQ_CREDIT_CARD_RISK_BASED_FFIEC" hidden="1">"c13433"</definedName>
    <definedName name="IQ_CREDIT_CARDS_CONSUMER_LOANS_FFIEC" hidden="1">"c12822"</definedName>
    <definedName name="IQ_CREDIT_CARDS_LL_REC_FFIEC" hidden="1">"c12889"</definedName>
    <definedName name="IQ_CREDIT_CARDS_LOANS_TRADING_DOM_FFIEC" hidden="1">"c12933"</definedName>
    <definedName name="IQ_CREDIT_EXPOSURE" hidden="1">"c10038"</definedName>
    <definedName name="IQ_CREDIT_EXPOSURE_FFIEC" hidden="1">"c13062"</definedName>
    <definedName name="IQ_CREDIT_LOSS_CF" hidden="1">"c232"</definedName>
    <definedName name="IQ_CREDIT_LOSS_PROVISION_NET_CHARGE_OFFS_FDIC" hidden="1">"c6734"</definedName>
    <definedName name="IQ_CREDIT_LOSSES_DERIVATIVES_FFIEC" hidden="1">"c13068"</definedName>
    <definedName name="IQ_CREDIT_OPTIONS_DERIVATIVES_BENEFICIARY_FFIEC" hidden="1">"c13121"</definedName>
    <definedName name="IQ_CREDIT_OPTIONS_DERIVATIVES_GUARANTOR_FFIEC" hidden="1">"c13114"</definedName>
    <definedName name="IQ_CUMULATIVE_PREFERREDS_T2_FFIEC" hidden="1">"c13145"</definedName>
    <definedName name="IQ_CUMULATIVE_SPLIT_FACTOR" hidden="1">"c2094"</definedName>
    <definedName name="IQ_CURR_ACCT_BALANCE_APR_FC_UNUSED" hidden="1">"c8387"</definedName>
    <definedName name="IQ_CURR_ACCT_BALANCE_APR_FC_UNUSED_UNUSED_UNUSED" hidden="1">"c8387"</definedName>
    <definedName name="IQ_CURR_ACCT_BALANCE_APR_UNUSED" hidden="1">"c7507"</definedName>
    <definedName name="IQ_CURR_ACCT_BALANCE_APR_UNUSED_UNUSED_UNUSED" hidden="1">"c7507"</definedName>
    <definedName name="IQ_CURR_ACCT_BALANCE_FC_UNUSED" hidden="1">"c7727"</definedName>
    <definedName name="IQ_CURR_ACCT_BALANCE_FC_UNUSED_UNUSED_UNUSED" hidden="1">"c7727"</definedName>
    <definedName name="IQ_CURR_ACCT_BALANCE_PCT" hidden="1">"c6846"</definedName>
    <definedName name="IQ_CURR_ACCT_BALANCE_PCT_FC" hidden="1">"c7726"</definedName>
    <definedName name="IQ_CURR_ACCT_BALANCE_PCT_POP" hidden="1">"c7066"</definedName>
    <definedName name="IQ_CURR_ACCT_BALANCE_PCT_POP_FC" hidden="1">"c7946"</definedName>
    <definedName name="IQ_CURR_ACCT_BALANCE_PCT_YOY" hidden="1">"c7286"</definedName>
    <definedName name="IQ_CURR_ACCT_BALANCE_PCT_YOY_FC" hidden="1">"c8166"</definedName>
    <definedName name="IQ_CURR_ACCT_BALANCE_POP_FC_UNUSED" hidden="1">"c7947"</definedName>
    <definedName name="IQ_CURR_ACCT_BALANCE_POP_FC_UNUSED_UNUSED_UNUSED" hidden="1">"c7947"</definedName>
    <definedName name="IQ_CURR_ACCT_BALANCE_POP_UNUSED" hidden="1">"c7067"</definedName>
    <definedName name="IQ_CURR_ACCT_BALANCE_POP_UNUSED_UNUSED_UNUSED" hidden="1">"c7067"</definedName>
    <definedName name="IQ_CURR_ACCT_BALANCE_SAAR" hidden="1">"c6848"</definedName>
    <definedName name="IQ_CURR_ACCT_BALANCE_SAAR_APR" hidden="1">"c7508"</definedName>
    <definedName name="IQ_CURR_ACCT_BALANCE_SAAR_APR_FC" hidden="1">"c8388"</definedName>
    <definedName name="IQ_CURR_ACCT_BALANCE_SAAR_FC" hidden="1">"c7728"</definedName>
    <definedName name="IQ_CURR_ACCT_BALANCE_SAAR_POP" hidden="1">"c7068"</definedName>
    <definedName name="IQ_CURR_ACCT_BALANCE_SAAR_POP_FC" hidden="1">"c7948"</definedName>
    <definedName name="IQ_CURR_ACCT_BALANCE_SAAR_USD_APR_FC" hidden="1">"c11797"</definedName>
    <definedName name="IQ_CURR_ACCT_BALANCE_SAAR_USD_FC" hidden="1">"c11794"</definedName>
    <definedName name="IQ_CURR_ACCT_BALANCE_SAAR_USD_POP_FC" hidden="1">"c11795"</definedName>
    <definedName name="IQ_CURR_ACCT_BALANCE_SAAR_USD_YOY_FC" hidden="1">"c11796"</definedName>
    <definedName name="IQ_CURR_ACCT_BALANCE_SAAR_YOY" hidden="1">"c7288"</definedName>
    <definedName name="IQ_CURR_ACCT_BALANCE_SAAR_YOY_FC" hidden="1">"c8168"</definedName>
    <definedName name="IQ_CURR_ACCT_BALANCE_UNUSED" hidden="1">"c6847"</definedName>
    <definedName name="IQ_CURR_ACCT_BALANCE_UNUSED_UNUSED_UNUSED" hidden="1">"c6847"</definedName>
    <definedName name="IQ_CURR_ACCT_BALANCE_USD" hidden="1">"c11786"</definedName>
    <definedName name="IQ_CURR_ACCT_BALANCE_USD_APR" hidden="1">"c11789"</definedName>
    <definedName name="IQ_CURR_ACCT_BALANCE_USD_APR_FC" hidden="1">"c11793"</definedName>
    <definedName name="IQ_CURR_ACCT_BALANCE_USD_FC" hidden="1">"c11790"</definedName>
    <definedName name="IQ_CURR_ACCT_BALANCE_USD_POP" hidden="1">"c11787"</definedName>
    <definedName name="IQ_CURR_ACCT_BALANCE_USD_POP_FC" hidden="1">"c11791"</definedName>
    <definedName name="IQ_CURR_ACCT_BALANCE_USD_YOY" hidden="1">"c11788"</definedName>
    <definedName name="IQ_CURR_ACCT_BALANCE_USD_YOY_FC" hidden="1">"c11792"</definedName>
    <definedName name="IQ_CURR_ACCT_BALANCE_YOY_FC_UNUSED" hidden="1">"c8167"</definedName>
    <definedName name="IQ_CURR_ACCT_BALANCE_YOY_FC_UNUSED_UNUSED_UNUSED" hidden="1">"c8167"</definedName>
    <definedName name="IQ_CURR_ACCT_BALANCE_YOY_UNUSED" hidden="1">"c7287"</definedName>
    <definedName name="IQ_CURR_ACCT_BALANCE_YOY_UNUSED_UNUSED_UNUSED" hidden="1">"c7287"</definedName>
    <definedName name="IQ_CURR_ACCT_INC_RECEIPTS" hidden="1">"c6849"</definedName>
    <definedName name="IQ_CURR_ACCT_INC_RECEIPTS_APR" hidden="1">"c7509"</definedName>
    <definedName name="IQ_CURR_ACCT_INC_RECEIPTS_APR_FC" hidden="1">"c8389"</definedName>
    <definedName name="IQ_CURR_ACCT_INC_RECEIPTS_FC" hidden="1">"c7729"</definedName>
    <definedName name="IQ_CURR_ACCT_INC_RECEIPTS_POP" hidden="1">"c7069"</definedName>
    <definedName name="IQ_CURR_ACCT_INC_RECEIPTS_POP_FC" hidden="1">"c7949"</definedName>
    <definedName name="IQ_CURR_ACCT_INC_RECEIPTS_YOY" hidden="1">"c7289"</definedName>
    <definedName name="IQ_CURR_ACCT_INC_RECEIPTS_YOY_FC" hidden="1">"c8169"</definedName>
    <definedName name="IQ_CURR_DOMESTIC_TAXES" hidden="1">"c2074"</definedName>
    <definedName name="IQ_CURR_FOREIGN_TAXES" hidden="1">"c2075"</definedName>
    <definedName name="IQ_CURRENCY_COIN_DOMESTIC_FDIC" hidden="1">"c6388"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" hidden="1">"c6205"</definedName>
    <definedName name="IQ_CURRENCY_GAIN_REIT" hidden="1">"c239"</definedName>
    <definedName name="IQ_CURRENCY_GAIN_UTI" hidden="1">"c240"</definedName>
    <definedName name="IQ_CURRENT_BENCHMARK" hidden="1">"c6780"</definedName>
    <definedName name="IQ_CURRENT_BENCHMARK_CIQID" hidden="1">"c6781"</definedName>
    <definedName name="IQ_CURRENT_BENCHMARK_MATURITY" hidden="1">"c6782"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" hidden="1">"c6283"</definedName>
    <definedName name="IQ_CURRENT_PORT_DEBT_REIT" hidden="1">"c1570"</definedName>
    <definedName name="IQ_CURRENT_PORT_DEBT_UTI" hidden="1">"c1571"</definedName>
    <definedName name="IQ_CURRENT_PORT_FHLB_DEBT" hidden="1">"c5657"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USTOMER_LIAB_ACCEPTANCES_OUT_FFIEC" hidden="1">"c12835"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" hidden="1">"c6206"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" hidden="1">"c6207"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" hidden="1">"c6208"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" hidden="1">"c6209"</definedName>
    <definedName name="IQ_DA_SUPPL_REIT" hidden="1">"c270"</definedName>
    <definedName name="IQ_DA_SUPPL_UTI" hidden="1">"c271"</definedName>
    <definedName name="IQ_DA_UTI" hidden="1">"c272"</definedName>
    <definedName name="IQ_DAILY" hidden="1">500000</definedName>
    <definedName name="IQ_DATA_PROCESSING_EXP_FFIEC" hidden="1">"c13047"</definedName>
    <definedName name="IQ_DATED_DATE" hidden="1">"c2185"</definedName>
    <definedName name="IQ_DAY_COUNT" hidden="1">"c2161"</definedName>
    <definedName name="IQ_DAYS_COVER_SHORT" hidden="1">"c1578"</definedName>
    <definedName name="IQ_DAYS_DELAY" hidden="1">"c8963"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1_5_INVEST_SECURITIES_FFIEC" hidden="1">"c13465"</definedName>
    <definedName name="IQ_DEBT_ADJ" hidden="1">"c2515"</definedName>
    <definedName name="IQ_DEBT_ADJ_PCT" hidden="1">"c2516"</definedName>
    <definedName name="IQ_DEBT_EQUITY_EST" hidden="1">"c4257"</definedName>
    <definedName name="IQ_DEBT_EQUITY_HIGH_EST" hidden="1">"c4258"</definedName>
    <definedName name="IQ_DEBT_EQUITY_LOW_EST" hidden="1">"c4259"</definedName>
    <definedName name="IQ_DEBT_EQUITY_MEDIAN_EST" hidden="1">"c4260"</definedName>
    <definedName name="IQ_DEBT_EQUITY_NUM_EST" hidden="1">"c4261"</definedName>
    <definedName name="IQ_DEBT_EQUITY_STDDEV_EST" hidden="1">"c4262"</definedName>
    <definedName name="IQ_DEBT_EQUIV_NET_PBO" hidden="1">"c2938"</definedName>
    <definedName name="IQ_DEBT_EQUIV_OPER_LEASE" hidden="1">"c2935"</definedName>
    <definedName name="IQ_DEBT_LESS_1YR_INVEST_SECURITIES_FFIEC" hidden="1">"c13464"</definedName>
    <definedName name="IQ_DEBT_MATURING_MORE_THAN_ONE_YEAR_FFIEC" hidden="1">"c13164"</definedName>
    <definedName name="IQ_DEBT_MATURING_WITHIN_ONE_YEAR_FFIEC" hidden="1">"c13163"</definedName>
    <definedName name="IQ_DEBT_SEC_OVER_5YR_INVEST_SECURITIES_FFIEC" hidden="1">"c13466"</definedName>
    <definedName name="IQ_DEBT_SECURITIES_FOREIGN_FFIEC" hidden="1">"c13484"</definedName>
    <definedName name="IQ_DEBT_SECURITIES_OTHER_ASSETS_DUE_30_89_FFIEC" hidden="1">"c13279"</definedName>
    <definedName name="IQ_DEBT_SECURITIES_OTHER_ASSETS_DUE_90_FFIEC" hidden="1">"c13305"</definedName>
    <definedName name="IQ_DEBT_SECURITIES_OTHER_ASSETS_NON_ACCRUAL_FFIEC" hidden="1">"c13331"</definedName>
    <definedName name="IQ_DECREASE_INT_EXPENSE_FFIEC" hidden="1">"c13064"</definedName>
    <definedName name="IQ_DEDUCTIONS_TOTAL_RISK_BASED_CAPITAL_FFIEC" hidden="1">"c13152"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" hidden="1">"c6210"</definedName>
    <definedName name="IQ_DEF_CHARGES_LT_REIT" hidden="1">"c297"</definedName>
    <definedName name="IQ_DEF_CHARGES_LT_UTI" hidden="1">"c298"</definedName>
    <definedName name="IQ_DEF_CHARGES_RE" hidden="1">"c6211"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SPENDING_REAL_SAAR" hidden="1">"c6971"</definedName>
    <definedName name="IQ_DEF_SPENDING_REAL_SAAR_APR" hidden="1">"c7631"</definedName>
    <definedName name="IQ_DEF_SPENDING_REAL_SAAR_APR_FC" hidden="1">"c8511"</definedName>
    <definedName name="IQ_DEF_SPENDING_REAL_SAAR_FC" hidden="1">"c7851"</definedName>
    <definedName name="IQ_DEF_SPENDING_REAL_SAAR_POP" hidden="1">"c7191"</definedName>
    <definedName name="IQ_DEF_SPENDING_REAL_SAAR_POP_FC" hidden="1">"c8071"</definedName>
    <definedName name="IQ_DEF_SPENDING_REAL_SAAR_YOY" hidden="1">"c7411"</definedName>
    <definedName name="IQ_DEF_SPENDING_REAL_SAAR_YOY_FC" hidden="1">"c8291"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" hidden="1">"c6212"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" hidden="1">"c6213"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_ASSETS_FFIEC" hidden="1">"c12843"</definedName>
    <definedName name="IQ_DEFERRED_TAX_ASSETS_T1_FFIEC" hidden="1">"c13141"</definedName>
    <definedName name="IQ_DEFERRED_TAX_LIAB_FFIEC" hidden="1">"c12870"</definedName>
    <definedName name="IQ_DEFERRED_TAXES" hidden="1">"c1356"</definedName>
    <definedName name="IQ_DEMAND_DEP" hidden="1">"c320"</definedName>
    <definedName name="IQ_DEMAND_DEPOSITS_COMMERCIAL_BANK_SUBS_FFIEC" hidden="1">"c12945"</definedName>
    <definedName name="IQ_DEMAND_DEPOSITS_FDIC" hidden="1">"c6489"</definedName>
    <definedName name="IQ_DEPOSIT_ACCOUNTS_LESS_THAN_100K_FDIC" hidden="1">"c6494"</definedName>
    <definedName name="IQ_DEPOSIT_ACCOUNTS_MORE_THAN_100K_FDIC" hidden="1">"c6492"</definedName>
    <definedName name="IQ_DEPOSITORY_INST_ACCEPTANCES_LL_REC_DOM_FFIEC" hidden="1">"c12908"</definedName>
    <definedName name="IQ_DEPOSITORY_INST_GROSS_LOANS_FFIEC" hidden="1">"c13409"</definedName>
    <definedName name="IQ_DEPOSITORY_INST_RISK_BASED_FFIEC" hidden="1">"c13430"</definedName>
    <definedName name="IQ_DEPOSITORY_INSTITUTIONS_CHARGE_OFFS_FDIC" hidden="1">"c6596"</definedName>
    <definedName name="IQ_DEPOSITORY_INSTITUTIONS_NET_CHARGE_OFFS_FDIC" hidden="1">"c6634"</definedName>
    <definedName name="IQ_DEPOSITORY_INSTITUTIONS_RECOVERIES_FDIC" hidden="1">"c6615"</definedName>
    <definedName name="IQ_DEPOSITS_100K_MORE_ASSETS_TOT_FFIEC" hidden="1">"c13444"</definedName>
    <definedName name="IQ_DEPOSITS_DOM_FFIEC" hidden="1">"c12850"</definedName>
    <definedName name="IQ_DEPOSITS_FAIR_VALUE_TOT_FFIEC" hidden="1">"c13213"</definedName>
    <definedName name="IQ_DEPOSITS_FIN" hidden="1">"c321"</definedName>
    <definedName name="IQ_DEPOSITS_FOREIGN_FFIEC" hidden="1">"c12853"</definedName>
    <definedName name="IQ_DEPOSITS_HELD_DOMESTIC_FDIC" hidden="1">"c6340"</definedName>
    <definedName name="IQ_DEPOSITS_HELD_FOREIGN_FDIC" hidden="1">"c6341"</definedName>
    <definedName name="IQ_DEPOSITS_INTEREST_SECURITIES" hidden="1">"c5509"</definedName>
    <definedName name="IQ_DEPOSITS_LESS_100K_COMMERCIAL_BANK_SUBS_FFIEC" hidden="1">"c12948"</definedName>
    <definedName name="IQ_DEPOSITS_LESS_THAN_100K_AFTER_THREE_YEARS_FDIC" hidden="1">"c6464"</definedName>
    <definedName name="IQ_DEPOSITS_LESS_THAN_100K_THREE_MONTHS_FDIC" hidden="1">"c6461"</definedName>
    <definedName name="IQ_DEPOSITS_LESS_THAN_100K_THREE_YEARS_FDIC" hidden="1">"c6463"</definedName>
    <definedName name="IQ_DEPOSITS_LESS_THAN_100K_TWELVE_MONTHS_FDIC" hidden="1">"c6462"</definedName>
    <definedName name="IQ_DEPOSITS_LEVEL_1_FFIEC" hidden="1">"c13221"</definedName>
    <definedName name="IQ_DEPOSITS_LEVEL_2_FFIEC" hidden="1">"c13229"</definedName>
    <definedName name="IQ_DEPOSITS_LEVEL_3_FFIEC" hidden="1">"c13237"</definedName>
    <definedName name="IQ_DEPOSITS_MORE_100K_COMMERCIAL_BANK_SUBS_FFIEC" hidden="1">"c12949"</definedName>
    <definedName name="IQ_DEPOSITS_MORE_THAN_100K_AFTER_THREE_YEARS_FDIC" hidden="1">"c6469"</definedName>
    <definedName name="IQ_DEPOSITS_MORE_THAN_100K_THREE_MONTHS_FDIC" hidden="1">"c6466"</definedName>
    <definedName name="IQ_DEPOSITS_MORE_THAN_100K_THREE_YEARS_FDIC" hidden="1">"c6468"</definedName>
    <definedName name="IQ_DEPOSITS_MORE_THAN_100K_TWELVE_MONTHS_FDIC" hidden="1">"c6467"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RIVATIVES_FDIC" hidden="1">"c6523"</definedName>
    <definedName name="IQ_DERIVATIVES_NEGATIVE_FAIR_VALUE_DOM_FFIEC" hidden="1">"c12943"</definedName>
    <definedName name="IQ_DERIVATIVES_NEGATIVE_VALUE_FFIEC" hidden="1">"c12861"</definedName>
    <definedName name="IQ_DERIVATIVES_POS_FAIR_VALUE_FFIEC" hidden="1">"c12827"</definedName>
    <definedName name="IQ_DERIVATIVES_POSITIVE_FAIR_VALUE_TRADING_DOM_FFIEC" hidden="1">"c12938"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FF_LASTCLOSE_TARGET_PRICE_CIQ" hidden="1">"c4767"</definedName>
    <definedName name="IQ_DIFF_LASTCLOSE_TARGET_PRICE_REUT" hidden="1">"c5436"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OUTSTANDING_CURRENT_EST" hidden="1">"c4263"</definedName>
    <definedName name="IQ_DILUT_OUTSTANDING_CURRENT_HIGH_EST" hidden="1">"c4264"</definedName>
    <definedName name="IQ_DILUT_OUTSTANDING_CURRENT_LOW_EST" hidden="1">"c4265"</definedName>
    <definedName name="IQ_DILUT_OUTSTANDING_CURRENT_MEDIAN_EST" hidden="1">"c4266"</definedName>
    <definedName name="IQ_DILUT_OUTSTANDING_CURRENT_NUM_EST" hidden="1">"c4267"</definedName>
    <definedName name="IQ_DILUT_OUTSTANDING_CURRENT_STDDEV_EST" hidden="1">"c4268"</definedName>
    <definedName name="IQ_DILUT_WEIGHT" hidden="1">"c326"</definedName>
    <definedName name="IQ_DILUT_WEIGHT_EST" hidden="1">"c4269"</definedName>
    <definedName name="IQ_DILUT_WEIGHT_GUIDANCE" hidden="1">"c4270"</definedName>
    <definedName name="IQ_DILUT_WEIGHT_HIGH_EST" hidden="1">"c4271"</definedName>
    <definedName name="IQ_DILUT_WEIGHT_LOW_EST" hidden="1">"c4272"</definedName>
    <definedName name="IQ_DILUT_WEIGHT_MEDIAN_EST" hidden="1">"c4273"</definedName>
    <definedName name="IQ_DILUT_WEIGHT_NUM_EST" hidden="1">"c4274"</definedName>
    <definedName name="IQ_DILUT_WEIGHT_STDDEV_EST" hidden="1">"c4275"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RECTORS_FEES_FFIEC" hidden="1">"c13049"</definedName>
    <definedName name="IQ_DISALLOWED_DEFERRED_TAX_ASSETS_FFIEC" hidden="1">"c13157"</definedName>
    <definedName name="IQ_DISALLOWED_GOODWILL_INTANGIBLE_ASSETS_FFIEC" hidden="1">"c13155"</definedName>
    <definedName name="IQ_DISALLOWED_GOODWILL_INTANGIBLES_T1_FFIEC" hidden="1">"c13137"</definedName>
    <definedName name="IQ_DISALLOWED_SERVICING_ASSETS_FFIEC" hidden="1">"c13156"</definedName>
    <definedName name="IQ_DISALLOWED_SERVICING_ASSETS_T1_FFIEC" hidden="1">"c13140"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POSABLE_PERSONAL_INC" hidden="1">"c6850"</definedName>
    <definedName name="IQ_DISPOSABLE_PERSONAL_INC_APR" hidden="1">"c7510"</definedName>
    <definedName name="IQ_DISPOSABLE_PERSONAL_INC_APR_FC" hidden="1">"c8390"</definedName>
    <definedName name="IQ_DISPOSABLE_PERSONAL_INC_FC" hidden="1">"c7730"</definedName>
    <definedName name="IQ_DISPOSABLE_PERSONAL_INC_POP" hidden="1">"c7070"</definedName>
    <definedName name="IQ_DISPOSABLE_PERSONAL_INC_POP_FC" hidden="1">"c7950"</definedName>
    <definedName name="IQ_DISPOSABLE_PERSONAL_INC_REAL" hidden="1">"c11922"</definedName>
    <definedName name="IQ_DISPOSABLE_PERSONAL_INC_REAL_APR" hidden="1">"c11925"</definedName>
    <definedName name="IQ_DISPOSABLE_PERSONAL_INC_REAL_POP" hidden="1">"c11923"</definedName>
    <definedName name="IQ_DISPOSABLE_PERSONAL_INC_REAL_YOY" hidden="1">"c11924"</definedName>
    <definedName name="IQ_DISPOSABLE_PERSONAL_INC_SAAR" hidden="1">"c6851"</definedName>
    <definedName name="IQ_DISPOSABLE_PERSONAL_INC_SAAR_APR" hidden="1">"c7511"</definedName>
    <definedName name="IQ_DISPOSABLE_PERSONAL_INC_SAAR_APR_FC" hidden="1">"c8391"</definedName>
    <definedName name="IQ_DISPOSABLE_PERSONAL_INC_SAAR_FC" hidden="1">"c7731"</definedName>
    <definedName name="IQ_DISPOSABLE_PERSONAL_INC_SAAR_POP" hidden="1">"c7071"</definedName>
    <definedName name="IQ_DISPOSABLE_PERSONAL_INC_SAAR_POP_FC" hidden="1">"c7951"</definedName>
    <definedName name="IQ_DISPOSABLE_PERSONAL_INC_SAAR_USD_APR_FC" hidden="1">"c11805"</definedName>
    <definedName name="IQ_DISPOSABLE_PERSONAL_INC_SAAR_USD_FC" hidden="1">"c11802"</definedName>
    <definedName name="IQ_DISPOSABLE_PERSONAL_INC_SAAR_USD_POP_FC" hidden="1">"c11803"</definedName>
    <definedName name="IQ_DISPOSABLE_PERSONAL_INC_SAAR_USD_YOY_FC" hidden="1">"c11804"</definedName>
    <definedName name="IQ_DISPOSABLE_PERSONAL_INC_SAAR_YOY" hidden="1">"c7291"</definedName>
    <definedName name="IQ_DISPOSABLE_PERSONAL_INC_SAAR_YOY_FC" hidden="1">"c8171"</definedName>
    <definedName name="IQ_DISPOSABLE_PERSONAL_INC_USD_APR_FC" hidden="1">"c11801"</definedName>
    <definedName name="IQ_DISPOSABLE_PERSONAL_INC_USD_FC" hidden="1">"c11798"</definedName>
    <definedName name="IQ_DISPOSABLE_PERSONAL_INC_USD_POP_FC" hidden="1">"c11799"</definedName>
    <definedName name="IQ_DISPOSABLE_PERSONAL_INC_USD_YOY_FC" hidden="1">"c11800"</definedName>
    <definedName name="IQ_DISPOSABLE_PERSONAL_INC_YOY" hidden="1">"c7290"</definedName>
    <definedName name="IQ_DISPOSABLE_PERSONAL_INC_YOY_FC" hidden="1">"c8170"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ACT_OR_EST_CIQ" hidden="1">"c4803"</definedName>
    <definedName name="IQ_DISTRIBUTABLE_CASH_EST" hidden="1">"c4277"</definedName>
    <definedName name="IQ_DISTRIBUTABLE_CASH_GUIDANCE" hidden="1">"c4279"</definedName>
    <definedName name="IQ_DISTRIBUTABLE_CASH_HIGH_EST" hidden="1">"c4280"</definedName>
    <definedName name="IQ_DISTRIBUTABLE_CASH_HIGH_GUIDANCE" hidden="1">"c4198"</definedName>
    <definedName name="IQ_DISTRIBUTABLE_CASH_LOW_EST" hidden="1">"c4281"</definedName>
    <definedName name="IQ_DISTRIBUTABLE_CASH_LOW_GUIDANCE" hidden="1">"c4238"</definedName>
    <definedName name="IQ_DISTRIBUTABLE_CASH_MEDIAN_EST" hidden="1">"c4282"</definedName>
    <definedName name="IQ_DISTRIBUTABLE_CASH_NUM_EST" hidden="1">"c4283"</definedName>
    <definedName name="IQ_DISTRIBUTABLE_CASH_PAYOUT" hidden="1">"c3005"</definedName>
    <definedName name="IQ_DISTRIBUTABLE_CASH_SHARE" hidden="1">"c3003"</definedName>
    <definedName name="IQ_DISTRIBUTABLE_CASH_SHARE_ACT_OR_EST" hidden="1">"c4286"</definedName>
    <definedName name="IQ_DISTRIBUTABLE_CASH_SHARE_ACT_OR_EST_CIQ" hidden="1">"c4811"</definedName>
    <definedName name="IQ_DISTRIBUTABLE_CASH_SHARE_EST" hidden="1">"c4285"</definedName>
    <definedName name="IQ_DISTRIBUTABLE_CASH_SHARE_GUIDANCE" hidden="1">"c4287"</definedName>
    <definedName name="IQ_DISTRIBUTABLE_CASH_SHARE_HIGH_EST" hidden="1">"c4288"</definedName>
    <definedName name="IQ_DISTRIBUTABLE_CASH_SHARE_HIGH_GUIDANCE" hidden="1">"c4199"</definedName>
    <definedName name="IQ_DISTRIBUTABLE_CASH_SHARE_LOW_EST" hidden="1">"c4289"</definedName>
    <definedName name="IQ_DISTRIBUTABLE_CASH_SHARE_LOW_GUIDANCE" hidden="1">"c4239"</definedName>
    <definedName name="IQ_DISTRIBUTABLE_CASH_SHARE_MEDIAN_EST" hidden="1">"c4290"</definedName>
    <definedName name="IQ_DISTRIBUTABLE_CASH_SHARE_NUM_EST" hidden="1">"c4291"</definedName>
    <definedName name="IQ_DISTRIBUTABLE_CASH_SHARE_STDDEV_EST" hidden="1">"c4292"</definedName>
    <definedName name="IQ_DISTRIBUTABLE_CASH_STDDEV_EST" hidden="1">"c4294"</definedName>
    <definedName name="IQ_DIV_AMOUNT" hidden="1">"c3041"</definedName>
    <definedName name="IQ_DIV_PAYMENT_DATE" hidden="1">"c2205"</definedName>
    <definedName name="IQ_DIV_PAYMENT_TYPE" hidden="1">"c12752"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EST" hidden="1">"c4296"</definedName>
    <definedName name="IQ_DIVIDEND_HIGH_EST" hidden="1">"c4297"</definedName>
    <definedName name="IQ_DIVIDEND_LOW_EST" hidden="1">"c4298"</definedName>
    <definedName name="IQ_DIVIDEND_MEDIAN_EST" hidden="1">"c4299"</definedName>
    <definedName name="IQ_DIVIDEND_NUM_EST" hidden="1">"c4300"</definedName>
    <definedName name="IQ_DIVIDEND_STDDEV_EST" hidden="1">"c4301"</definedName>
    <definedName name="IQ_DIVIDEND_YIELD" hidden="1">"c332"</definedName>
    <definedName name="IQ_DIVIDENDS_DECLARED_COMMON_FDIC" hidden="1">"c6659"</definedName>
    <definedName name="IQ_DIVIDENDS_DECLARED_COMMON_FFIEC" hidden="1">"c12969"</definedName>
    <definedName name="IQ_DIVIDENDS_DECLARED_PREFERRED_FDIC" hidden="1">"c6658"</definedName>
    <definedName name="IQ_DIVIDENDS_DECLARED_PREFERRED_FFIEC" hidden="1">"c12968"</definedName>
    <definedName name="IQ_DIVIDENDS_FDIC" hidden="1">"c6660"</definedName>
    <definedName name="IQ_DIVIDENDS_NET_INCOME_FFIEC" hidden="1">"c13349"</definedName>
    <definedName name="IQ_DIVIDENDS_PAID_DECLARED_PERIOD_COVERED" hidden="1">"c9960"</definedName>
    <definedName name="IQ_DIVIDENDS_PAID_DECLARED_PERIOD_GROUP" hidden="1">"c9946"</definedName>
    <definedName name="IQ_DNB_OTHER_EXP_INC_TAX_US" hidden="1">"c6787"</definedName>
    <definedName name="IQ_DNTM" hidden="1">700000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OC_CLAUSE" hidden="1">"c6032"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CAGR" hidden="1">"c6065"</definedName>
    <definedName name="IQ_DPS_10YR_ANN_GROWTH" hidden="1">"c337"</definedName>
    <definedName name="IQ_DPS_1YR_ANN_GROWTH" hidden="1">"c338"</definedName>
    <definedName name="IQ_DPS_2YR_ANN_CAGR" hidden="1">"c6066"</definedName>
    <definedName name="IQ_DPS_2YR_ANN_GROWTH" hidden="1">"c339"</definedName>
    <definedName name="IQ_DPS_3YR_ANN_CAGR" hidden="1">"c6067"</definedName>
    <definedName name="IQ_DPS_3YR_ANN_GROWTH" hidden="1">"c340"</definedName>
    <definedName name="IQ_DPS_5YR_ANN_CAGR" hidden="1">"c6068"</definedName>
    <definedName name="IQ_DPS_5YR_ANN_GROWTH" hidden="1">"c341"</definedName>
    <definedName name="IQ_DPS_7YR_ANN_CAGR" hidden="1">"c6069"</definedName>
    <definedName name="IQ_DPS_7YR_ANN_GROWTH" hidden="1">"c342"</definedName>
    <definedName name="IQ_DPS_ACT_OR_EST" hidden="1">"c2218"</definedName>
    <definedName name="IQ_DPS_ACT_OR_EST_REUT" hidden="1">"c5464"</definedName>
    <definedName name="IQ_DPS_EST" hidden="1">"c1674"</definedName>
    <definedName name="IQ_DPS_EST_BOTTOM_UP" hidden="1">"c5493"</definedName>
    <definedName name="IQ_DPS_EST_BOTTOM_UP_REUT" hidden="1">"c5501"</definedName>
    <definedName name="IQ_DPS_EST_REUT" hidden="1">"c3851"</definedName>
    <definedName name="IQ_DPS_GUIDANCE" hidden="1">"c4302"</definedName>
    <definedName name="IQ_DPS_HIGH_EST" hidden="1">"c1676"</definedName>
    <definedName name="IQ_DPS_HIGH_EST_REUT" hidden="1">"c3853"</definedName>
    <definedName name="IQ_DPS_HIGH_GUIDANCE" hidden="1">"c4168"</definedName>
    <definedName name="IQ_DPS_LOW_EST" hidden="1">"c1677"</definedName>
    <definedName name="IQ_DPS_LOW_EST_REUT" hidden="1">"c3854"</definedName>
    <definedName name="IQ_DPS_LOW_GUIDANCE" hidden="1">"c4208"</definedName>
    <definedName name="IQ_DPS_MEDIAN_EST" hidden="1">"c1675"</definedName>
    <definedName name="IQ_DPS_MEDIAN_EST_REUT" hidden="1">"c3852"</definedName>
    <definedName name="IQ_DPS_NUM_EST" hidden="1">"c1678"</definedName>
    <definedName name="IQ_DPS_NUM_EST_REUT" hidden="1">"c3855"</definedName>
    <definedName name="IQ_DPS_STDDEV_EST" hidden="1">"c1679"</definedName>
    <definedName name="IQ_DPS_STDDEV_EST_REUT" hidden="1">"c3856"</definedName>
    <definedName name="IQ_DURABLE_INVENTORIES" hidden="1">"c6853"</definedName>
    <definedName name="IQ_DURABLE_INVENTORIES_APR" hidden="1">"c7513"</definedName>
    <definedName name="IQ_DURABLE_INVENTORIES_APR_FC" hidden="1">"c8393"</definedName>
    <definedName name="IQ_DURABLE_INVENTORIES_FC" hidden="1">"c7733"</definedName>
    <definedName name="IQ_DURABLE_INVENTORIES_POP" hidden="1">"c7073"</definedName>
    <definedName name="IQ_DURABLE_INVENTORIES_POP_FC" hidden="1">"c7953"</definedName>
    <definedName name="IQ_DURABLE_INVENTORIES_YOY" hidden="1">"c7293"</definedName>
    <definedName name="IQ_DURABLE_INVENTORIES_YOY_FC" hidden="1">"c8173"</definedName>
    <definedName name="IQ_DURABLE_ORDERS" hidden="1">"c6854"</definedName>
    <definedName name="IQ_DURABLE_ORDERS_APR" hidden="1">"c7514"</definedName>
    <definedName name="IQ_DURABLE_ORDERS_APR_FC" hidden="1">"c8394"</definedName>
    <definedName name="IQ_DURABLE_ORDERS_FC" hidden="1">"c7734"</definedName>
    <definedName name="IQ_DURABLE_ORDERS_POP" hidden="1">"c7074"</definedName>
    <definedName name="IQ_DURABLE_ORDERS_POP_FC" hidden="1">"c7954"</definedName>
    <definedName name="IQ_DURABLE_ORDERS_YOY" hidden="1">"c7294"</definedName>
    <definedName name="IQ_DURABLE_ORDERS_YOY_FC" hidden="1">"c8174"</definedName>
    <definedName name="IQ_DURABLE_SHIPMENTS" hidden="1">"c6855"</definedName>
    <definedName name="IQ_DURABLE_SHIPMENTS_APR" hidden="1">"c7515"</definedName>
    <definedName name="IQ_DURABLE_SHIPMENTS_APR_FC" hidden="1">"c8395"</definedName>
    <definedName name="IQ_DURABLE_SHIPMENTS_FC" hidden="1">"c7735"</definedName>
    <definedName name="IQ_DURABLE_SHIPMENTS_POP" hidden="1">"c7075"</definedName>
    <definedName name="IQ_DURABLE_SHIPMENTS_POP_FC" hidden="1">"c7955"</definedName>
    <definedName name="IQ_DURABLE_SHIPMENTS_YOY" hidden="1">"c7295"</definedName>
    <definedName name="IQ_DURABLE_SHIPMENTS_YOY_FC" hidden="1">"c8175"</definedName>
    <definedName name="IQ_DURATION" hidden="1">"c2181"</definedName>
    <definedName name="IQ_EARNING_ASSET_YIELD" hidden="1">"c343"</definedName>
    <definedName name="IQ_EARNING_ASSETS_AVG_ASSETS_FFIEC" hidden="1">"c13354"</definedName>
    <definedName name="IQ_EARNING_ASSETS_FDIC" hidden="1">"c6360"</definedName>
    <definedName name="IQ_EARNING_ASSETS_QUARTERLY_AVG_FFIEC" hidden="1">"c13086"</definedName>
    <definedName name="IQ_EARNING_ASSETS_REPRICE_ASSETS_TOT_FFIEC" hidden="1">"c13451"</definedName>
    <definedName name="IQ_EARNING_ASSETS_YIELD_FDIC" hidden="1">"c6724"</definedName>
    <definedName name="IQ_EARNING_CO" hidden="1">"c344"</definedName>
    <definedName name="IQ_EARNING_CO_10YR_ANN_CAGR" hidden="1">"c6070"</definedName>
    <definedName name="IQ_EARNING_CO_10YR_ANN_GROWTH" hidden="1">"c345"</definedName>
    <definedName name="IQ_EARNING_CO_1YR_ANN_GROWTH" hidden="1">"c346"</definedName>
    <definedName name="IQ_EARNING_CO_2YR_ANN_CAGR" hidden="1">"c6071"</definedName>
    <definedName name="IQ_EARNING_CO_2YR_ANN_GROWTH" hidden="1">"c347"</definedName>
    <definedName name="IQ_EARNING_CO_3YR_ANN_CAGR" hidden="1">"c6072"</definedName>
    <definedName name="IQ_EARNING_CO_3YR_ANN_GROWTH" hidden="1">"c348"</definedName>
    <definedName name="IQ_EARNING_CO_5YR_ANN_CAGR" hidden="1">"c6073"</definedName>
    <definedName name="IQ_EARNING_CO_5YR_ANN_GROWTH" hidden="1">"c349"</definedName>
    <definedName name="IQ_EARNING_CO_7YR_ANN_CAGR" hidden="1">"c6074"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CIQ" hidden="1">"c4656"</definedName>
    <definedName name="IQ_EARNINGS_ANNOUNCE_DATE_REUT" hidden="1">"c5314"</definedName>
    <definedName name="IQ_EARNINGS_CO_FFIEC" hidden="1">"c13032"</definedName>
    <definedName name="IQ_EARNINGS_COVERAGE_LOSSES_FFIEC" hidden="1">"c13351"</definedName>
    <definedName name="IQ_EARNINGS_COVERAGE_NET_CHARGE_OFFS_FDIC" hidden="1">"c6735"</definedName>
    <definedName name="IQ_EARNINGS_LIFE_INSURANCE_FFIEC" hidden="1">"c13041"</definedName>
    <definedName name="IQ_EARNINGS_PERIOD_COVERED" hidden="1">"c9958"</definedName>
    <definedName name="IQ_EARNINGS_PERIOD_GROUP" hidden="1">"c9944"</definedName>
    <definedName name="IQ_EBIT" hidden="1">"c352"</definedName>
    <definedName name="IQ_EBIT_10K" hidden="1">"IQ_EBIT_10K"</definedName>
    <definedName name="IQ_EBIT_10Q" hidden="1">"IQ_EBIT_10Q"</definedName>
    <definedName name="IQ_EBIT_10Q1" hidden="1">"IQ_EBIT_10Q1"</definedName>
    <definedName name="IQ_EBIT_10YR_ANN_CAGR" hidden="1">"c6075"</definedName>
    <definedName name="IQ_EBIT_10YR_ANN_GROWTH" hidden="1">"c353"</definedName>
    <definedName name="IQ_EBIT_1YR_ANN_GROWTH" hidden="1">"c354"</definedName>
    <definedName name="IQ_EBIT_2YR_ANN_CAGR" hidden="1">"c6076"</definedName>
    <definedName name="IQ_EBIT_2YR_ANN_GROWTH" hidden="1">"c355"</definedName>
    <definedName name="IQ_EBIT_3YR_ANN_CAGR" hidden="1">"c6077"</definedName>
    <definedName name="IQ_EBIT_3YR_ANN_GROWTH" hidden="1">"c356"</definedName>
    <definedName name="IQ_EBIT_5YR_ANN_CAGR" hidden="1">"c6078"</definedName>
    <definedName name="IQ_EBIT_5YR_ANN_GROWTH" hidden="1">"c357"</definedName>
    <definedName name="IQ_EBIT_7YR_ANN_CAGR" hidden="1">"c6079"</definedName>
    <definedName name="IQ_EBIT_7YR_ANN_GROWTH" hidden="1">"c358"</definedName>
    <definedName name="IQ_EBIT_ACT_OR_EST" hidden="1">"c2219"</definedName>
    <definedName name="IQ_EBIT_ACT_OR_EST_REUT" hidden="1">"c5465"</definedName>
    <definedName name="IQ_EBIT_EQ_INC" hidden="1">"c3498"</definedName>
    <definedName name="IQ_EBIT_EQ_INC_EXCL_SBC" hidden="1">"c3502"</definedName>
    <definedName name="IQ_EBIT_EST" hidden="1">"c1681"</definedName>
    <definedName name="IQ_EBIT_EST_REUT" hidden="1">"c5333"</definedName>
    <definedName name="IQ_EBIT_EXCL_SBC" hidden="1">"c3082"</definedName>
    <definedName name="IQ_EBIT_GROWTH_1" hidden="1">"IQ_EBIT_GROWTH_1"</definedName>
    <definedName name="IQ_EBIT_GROWTH_2" hidden="1">"IQ_EBIT_GROWTH_2"</definedName>
    <definedName name="IQ_EBIT_GUIDANCE" hidden="1">"c4303"</definedName>
    <definedName name="IQ_EBIT_GW_ACT_OR_EST" hidden="1">"c4306"</definedName>
    <definedName name="IQ_EBIT_GW_EST" hidden="1">"c4305"</definedName>
    <definedName name="IQ_EBIT_GW_GUIDANCE" hidden="1">"c4307"</definedName>
    <definedName name="IQ_EBIT_GW_HIGH_EST" hidden="1">"c4308"</definedName>
    <definedName name="IQ_EBIT_GW_HIGH_GUIDANCE" hidden="1">"c4171"</definedName>
    <definedName name="IQ_EBIT_GW_LOW_EST" hidden="1">"c4309"</definedName>
    <definedName name="IQ_EBIT_GW_LOW_GUIDANCE" hidden="1">"c4211"</definedName>
    <definedName name="IQ_EBIT_GW_MEDIAN_EST" hidden="1">"c4310"</definedName>
    <definedName name="IQ_EBIT_GW_NUM_EST" hidden="1">"c4311"</definedName>
    <definedName name="IQ_EBIT_GW_STDDEV_EST" hidden="1">"c4312"</definedName>
    <definedName name="IQ_EBIT_HIGH_EST" hidden="1">"c1683"</definedName>
    <definedName name="IQ_EBIT_HIGH_EST_REUT" hidden="1">"c5335"</definedName>
    <definedName name="IQ_EBIT_HIGH_GUIDANCE" hidden="1">"c4172"</definedName>
    <definedName name="IQ_EBIT_INT" hidden="1">"c360"</definedName>
    <definedName name="IQ_EBIT_LOW_EST" hidden="1">"c1684"</definedName>
    <definedName name="IQ_EBIT_LOW_EST_REUT" hidden="1">"c5336"</definedName>
    <definedName name="IQ_EBIT_LOW_GUIDANCE" hidden="1">"c4212"</definedName>
    <definedName name="IQ_EBIT_MARGIN" hidden="1">"c359"</definedName>
    <definedName name="IQ_EBIT_MEDIAN_EST" hidden="1">"c1682"</definedName>
    <definedName name="IQ_EBIT_MEDIAN_EST_REUT" hidden="1">"c5334"</definedName>
    <definedName name="IQ_EBIT_NUM_EST" hidden="1">"c1685"</definedName>
    <definedName name="IQ_EBIT_NUM_EST_REUT" hidden="1">"c5337"</definedName>
    <definedName name="IQ_EBIT_OVER_IE" hidden="1">"c1369"</definedName>
    <definedName name="IQ_EBIT_SBC_ACT_OR_EST" hidden="1">"c4316"</definedName>
    <definedName name="IQ_EBIT_SBC_ACT_OR_EST_CIQ" hidden="1">"c4841"</definedName>
    <definedName name="IQ_EBIT_SBC_EST" hidden="1">"c4315"</definedName>
    <definedName name="IQ_EBIT_SBC_GUIDANCE" hidden="1">"c4317"</definedName>
    <definedName name="IQ_EBIT_SBC_GW_ACT_OR_EST" hidden="1">"c4320"</definedName>
    <definedName name="IQ_EBIT_SBC_GW_ACT_OR_EST_CIQ" hidden="1">"c4845"</definedName>
    <definedName name="IQ_EBIT_SBC_GW_EST" hidden="1">"c4319"</definedName>
    <definedName name="IQ_EBIT_SBC_GW_GUIDANCE" hidden="1">"c4321"</definedName>
    <definedName name="IQ_EBIT_SBC_GW_HIGH_EST" hidden="1">"c4322"</definedName>
    <definedName name="IQ_EBIT_SBC_GW_HIGH_GUIDANCE" hidden="1">"c4193"</definedName>
    <definedName name="IQ_EBIT_SBC_GW_LOW_EST" hidden="1">"c4323"</definedName>
    <definedName name="IQ_EBIT_SBC_GW_LOW_GUIDANCE" hidden="1">"c4233"</definedName>
    <definedName name="IQ_EBIT_SBC_GW_MEDIAN_EST" hidden="1">"c4324"</definedName>
    <definedName name="IQ_EBIT_SBC_GW_NUM_EST" hidden="1">"c4325"</definedName>
    <definedName name="IQ_EBIT_SBC_GW_STDDEV_EST" hidden="1">"c4326"</definedName>
    <definedName name="IQ_EBIT_SBC_HIGH_EST" hidden="1">"c4328"</definedName>
    <definedName name="IQ_EBIT_SBC_HIGH_GUIDANCE" hidden="1">"c4192"</definedName>
    <definedName name="IQ_EBIT_SBC_LOW_EST" hidden="1">"c4329"</definedName>
    <definedName name="IQ_EBIT_SBC_LOW_GUIDANCE" hidden="1">"c4232"</definedName>
    <definedName name="IQ_EBIT_SBC_MEDIAN_EST" hidden="1">"c4330"</definedName>
    <definedName name="IQ_EBIT_SBC_NUM_EST" hidden="1">"c4331"</definedName>
    <definedName name="IQ_EBIT_SBC_STDDEV_EST" hidden="1">"c4332"</definedName>
    <definedName name="IQ_EBIT_STDDEV_EST" hidden="1">"c1686"</definedName>
    <definedName name="IQ_EBIT_STDDEV_EST_REUT" hidden="1">"c5338"</definedName>
    <definedName name="IQ_EBITA" hidden="1">"c1910"</definedName>
    <definedName name="IQ_EBITA_10YR_ANN_CAGR" hidden="1">"c6184"</definedName>
    <definedName name="IQ_EBITA_10YR_ANN_GROWTH" hidden="1">"c1954"</definedName>
    <definedName name="IQ_EBITA_1YR_ANN_GROWTH" hidden="1">"c1949"</definedName>
    <definedName name="IQ_EBITA_2YR_ANN_CAGR" hidden="1">"c6180"</definedName>
    <definedName name="IQ_EBITA_2YR_ANN_GROWTH" hidden="1">"c1950"</definedName>
    <definedName name="IQ_EBITA_3YR_ANN_CAGR" hidden="1">"c6181"</definedName>
    <definedName name="IQ_EBITA_3YR_ANN_GROWTH" hidden="1">"c1951"</definedName>
    <definedName name="IQ_EBITA_5YR_ANN_CAGR" hidden="1">"c6182"</definedName>
    <definedName name="IQ_EBITA_5YR_ANN_GROWTH" hidden="1">"c1952"</definedName>
    <definedName name="IQ_EBITA_7YR_ANN_CAGR" hidden="1">"c6183"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K" hidden="1">"IQ_EBITDA_10K"</definedName>
    <definedName name="IQ_EBITDA_10Q" hidden="1">"IQ_EBITDA_10Q"</definedName>
    <definedName name="IQ_EBITDA_10Q1" hidden="1">"IQ_EBITDA_10Q1"</definedName>
    <definedName name="IQ_EBITDA_10YR_ANN_CAGR" hidden="1">"c6080"</definedName>
    <definedName name="IQ_EBITDA_10YR_ANN_GROWTH" hidden="1">"c362"</definedName>
    <definedName name="IQ_EBITDA_1YR_ANN_GROWTH" hidden="1">"c363"</definedName>
    <definedName name="IQ_EBITDA_2YR_ANN_CAGR" hidden="1">"c6081"</definedName>
    <definedName name="IQ_EBITDA_2YR_ANN_GROWTH" hidden="1">"c364"</definedName>
    <definedName name="IQ_EBITDA_3YR_ANN_CAGR" hidden="1">"c6082"</definedName>
    <definedName name="IQ_EBITDA_3YR_ANN_GROWTH" hidden="1">"c365"</definedName>
    <definedName name="IQ_EBITDA_5YR_ANN_CAGR" hidden="1">"c6083"</definedName>
    <definedName name="IQ_EBITDA_5YR_ANN_GROWTH" hidden="1">"c366"</definedName>
    <definedName name="IQ_EBITDA_7YR_ANN_CAGR" hidden="1">"c6084"</definedName>
    <definedName name="IQ_EBITDA_7YR_ANN_GROWTH" hidden="1">"c367"</definedName>
    <definedName name="IQ_EBITDA_ACT_OR_EST" hidden="1">"c2215"</definedName>
    <definedName name="IQ_EBITDA_ACT_OR_EST_CIQ" hidden="1">"c5060"</definedName>
    <definedName name="IQ_EBITDA_ACT_OR_EST_REUT" hidden="1">"c5462"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CIQ" hidden="1">"c3622"</definedName>
    <definedName name="IQ_EBITDA_EST_REUT" hidden="1">"c3640"</definedName>
    <definedName name="IQ_EBITDA_EXCL_SBC" hidden="1">"c3081"</definedName>
    <definedName name="IQ_EBITDA_GROWTH_1" hidden="1">"IQ_EBITDA_GROWTH_1"</definedName>
    <definedName name="IQ_EBITDA_GROWTH_2" hidden="1">"IQ_EBITDA_GROWTH_2"</definedName>
    <definedName name="IQ_EBITDA_GUIDANCE" hidden="1">"c4334"</definedName>
    <definedName name="IQ_EBITDA_HIGH_EST" hidden="1">"c370"</definedName>
    <definedName name="IQ_EBITDA_HIGH_EST_CIQ" hidden="1">"c3624"</definedName>
    <definedName name="IQ_EBITDA_HIGH_EST_REUT" hidden="1">"c3642"</definedName>
    <definedName name="IQ_EBITDA_HIGH_GUIDANCE" hidden="1">"c4170"</definedName>
    <definedName name="IQ_EBITDA_INT" hidden="1">"c373"</definedName>
    <definedName name="IQ_EBITDA_LOW_EST" hidden="1">"c371"</definedName>
    <definedName name="IQ_EBITDA_LOW_EST_CIQ" hidden="1">"c3625"</definedName>
    <definedName name="IQ_EBITDA_LOW_EST_REUT" hidden="1">"c3643"</definedName>
    <definedName name="IQ_EBITDA_LOW_GUIDANCE" hidden="1">"c4210"</definedName>
    <definedName name="IQ_EBITDA_MARGIN" hidden="1">"c372"</definedName>
    <definedName name="IQ_EBITDA_MEDIAN_EST" hidden="1">"c1663"</definedName>
    <definedName name="IQ_EBITDA_MEDIAN_EST_CIQ" hidden="1">"c3623"</definedName>
    <definedName name="IQ_EBITDA_MEDIAN_EST_REUT" hidden="1">"c3641"</definedName>
    <definedName name="IQ_EBITDA_NUM_EST" hidden="1">"c374"</definedName>
    <definedName name="IQ_EBITDA_NUM_EST_CIQ" hidden="1">"c3626"</definedName>
    <definedName name="IQ_EBITDA_NUM_EST_REUT" hidden="1">"c3644"</definedName>
    <definedName name="IQ_EBITDA_OVER_TOTAL_IE" hidden="1">"c1371"</definedName>
    <definedName name="IQ_EBITDA_SBC_ACT_OR_EST" hidden="1">"c4337"</definedName>
    <definedName name="IQ_EBITDA_SBC_ACT_OR_EST_CIQ" hidden="1">"c4862"</definedName>
    <definedName name="IQ_EBITDA_SBC_EST" hidden="1">"c4336"</definedName>
    <definedName name="IQ_EBITDA_SBC_GUIDANCE" hidden="1">"c4338"</definedName>
    <definedName name="IQ_EBITDA_SBC_HIGH_EST" hidden="1">"c4339"</definedName>
    <definedName name="IQ_EBITDA_SBC_HIGH_GUIDANCE" hidden="1">"c4194"</definedName>
    <definedName name="IQ_EBITDA_SBC_LOW_EST" hidden="1">"c4340"</definedName>
    <definedName name="IQ_EBITDA_SBC_LOW_GUIDANCE" hidden="1">"c4234"</definedName>
    <definedName name="IQ_EBITDA_SBC_MEDIAN_EST" hidden="1">"c4341"</definedName>
    <definedName name="IQ_EBITDA_SBC_NUM_EST" hidden="1">"c4342"</definedName>
    <definedName name="IQ_EBITDA_SBC_STDDEV_EST" hidden="1">"c4343"</definedName>
    <definedName name="IQ_EBITDA_STDDEV_EST" hidden="1">"c375"</definedName>
    <definedName name="IQ_EBITDA_STDDEV_EST_CIQ" hidden="1">"c3627"</definedName>
    <definedName name="IQ_EBITDA_STDDEV_EST_REUT" hidden="1">"c3645"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" hidden="1">"c6214"</definedName>
    <definedName name="IQ_EBT_EXCL_REIT" hidden="1">"c384"</definedName>
    <definedName name="IQ_EBT_EXCL_UTI" hidden="1">"c385"</definedName>
    <definedName name="IQ_EBT_FFIEC" hidden="1">"c13029"</definedName>
    <definedName name="IQ_EBT_FIN" hidden="1">"c386"</definedName>
    <definedName name="IQ_EBT_FTE_FFIEC" hidden="1">"c13037"</definedName>
    <definedName name="IQ_EBT_GAAP_GUIDANCE" hidden="1">"c4345"</definedName>
    <definedName name="IQ_EBT_GAAP_HIGH_GUIDANCE" hidden="1">"c4174"</definedName>
    <definedName name="IQ_EBT_GAAP_LOW_GUIDANCE" hidden="1">"c4214"</definedName>
    <definedName name="IQ_EBT_GUIDANCE" hidden="1">"c4346"</definedName>
    <definedName name="IQ_EBT_GW_GUIDANCE" hidden="1">"c4347"</definedName>
    <definedName name="IQ_EBT_GW_HIGH_GUIDANCE" hidden="1">"c4175"</definedName>
    <definedName name="IQ_EBT_GW_LOW_GUIDANCE" hidden="1">"c4215"</definedName>
    <definedName name="IQ_EBT_HIGH_GUIDANCE" hidden="1">"c4173"</definedName>
    <definedName name="IQ_EBT_INCL_MARGIN" hidden="1">"c387"</definedName>
    <definedName name="IQ_EBT_INS" hidden="1">"c388"</definedName>
    <definedName name="IQ_EBT_LOW_GUIDANCE" hidden="1">"c4213"</definedName>
    <definedName name="IQ_EBT_RE" hidden="1">"c6215"</definedName>
    <definedName name="IQ_EBT_REIT" hidden="1">"c389"</definedName>
    <definedName name="IQ_EBT_SBC_ACT_OR_EST" hidden="1">"c4350"</definedName>
    <definedName name="IQ_EBT_SBC_ACT_OR_EST_CIQ" hidden="1">"c4875"</definedName>
    <definedName name="IQ_EBT_SBC_EST" hidden="1">"c4349"</definedName>
    <definedName name="IQ_EBT_SBC_GUIDANCE" hidden="1">"c4351"</definedName>
    <definedName name="IQ_EBT_SBC_GW_ACT_OR_EST" hidden="1">"c4354"</definedName>
    <definedName name="IQ_EBT_SBC_GW_ACT_OR_EST_CIQ" hidden="1">"c4879"</definedName>
    <definedName name="IQ_EBT_SBC_GW_EST" hidden="1">"c4353"</definedName>
    <definedName name="IQ_EBT_SBC_GW_GUIDANCE" hidden="1">"c4355"</definedName>
    <definedName name="IQ_EBT_SBC_GW_HIGH_EST" hidden="1">"c4356"</definedName>
    <definedName name="IQ_EBT_SBC_GW_HIGH_GUIDANCE" hidden="1">"c4191"</definedName>
    <definedName name="IQ_EBT_SBC_GW_LOW_EST" hidden="1">"c4357"</definedName>
    <definedName name="IQ_EBT_SBC_GW_LOW_GUIDANCE" hidden="1">"c4231"</definedName>
    <definedName name="IQ_EBT_SBC_GW_MEDIAN_EST" hidden="1">"c4358"</definedName>
    <definedName name="IQ_EBT_SBC_GW_NUM_EST" hidden="1">"c4359"</definedName>
    <definedName name="IQ_EBT_SBC_GW_STDDEV_EST" hidden="1">"c4360"</definedName>
    <definedName name="IQ_EBT_SBC_HIGH_EST" hidden="1">"c4362"</definedName>
    <definedName name="IQ_EBT_SBC_HIGH_GUIDANCE" hidden="1">"c4190"</definedName>
    <definedName name="IQ_EBT_SBC_LOW_EST" hidden="1">"c4363"</definedName>
    <definedName name="IQ_EBT_SBC_LOW_GUIDANCE" hidden="1">"c4230"</definedName>
    <definedName name="IQ_EBT_SBC_MEDIAN_EST" hidden="1">"c4364"</definedName>
    <definedName name="IQ_EBT_SBC_NUM_EST" hidden="1">"c4365"</definedName>
    <definedName name="IQ_EBT_SBC_STDDEV_EST" hidden="1">"c4366"</definedName>
    <definedName name="IQ_EBT_SUBTOTAL_AP" hidden="1">"c8982"</definedName>
    <definedName name="IQ_EBT_UTI" hidden="1">"c390"</definedName>
    <definedName name="IQ_ECO_METRIC_6825_UNUSED" hidden="1">"c6825"</definedName>
    <definedName name="IQ_ECO_METRIC_6825_UNUSED_UNUSED_UNUSED" hidden="1">"c6825"</definedName>
    <definedName name="IQ_ECO_METRIC_6839_UNUSED" hidden="1">"c6839"</definedName>
    <definedName name="IQ_ECO_METRIC_6839_UNUSED_UNUSED_UNUSED" hidden="1">"c6839"</definedName>
    <definedName name="IQ_ECO_METRIC_6896_UNUSED" hidden="1">"c6896"</definedName>
    <definedName name="IQ_ECO_METRIC_6896_UNUSED_UNUSED_UNUSED" hidden="1">"c6896"</definedName>
    <definedName name="IQ_ECO_METRIC_6897_UNUSED" hidden="1">"c6897"</definedName>
    <definedName name="IQ_ECO_METRIC_6897_UNUSED_UNUSED_UNUSED" hidden="1">"c6897"</definedName>
    <definedName name="IQ_ECO_METRIC_6927" hidden="1">"c6927"</definedName>
    <definedName name="IQ_ECO_METRIC_6988_UNUSED" hidden="1">"c6988"</definedName>
    <definedName name="IQ_ECO_METRIC_6988_UNUSED_UNUSED_UNUSED" hidden="1">"c6988"</definedName>
    <definedName name="IQ_ECO_METRIC_7045_UNUSED" hidden="1">"c7045"</definedName>
    <definedName name="IQ_ECO_METRIC_7045_UNUSED_UNUSED_UNUSED" hidden="1">"c7045"</definedName>
    <definedName name="IQ_ECO_METRIC_7059_UNUSED" hidden="1">"c7059"</definedName>
    <definedName name="IQ_ECO_METRIC_7059_UNUSED_UNUSED_UNUSED" hidden="1">"c7059"</definedName>
    <definedName name="IQ_ECO_METRIC_7116_UNUSED" hidden="1">"c7116"</definedName>
    <definedName name="IQ_ECO_METRIC_7116_UNUSED_UNUSED_UNUSED" hidden="1">"c7116"</definedName>
    <definedName name="IQ_ECO_METRIC_7117_UNUSED" hidden="1">"c7117"</definedName>
    <definedName name="IQ_ECO_METRIC_7117_UNUSED_UNUSED_UNUSED" hidden="1">"c7117"</definedName>
    <definedName name="IQ_ECO_METRIC_7147" hidden="1">"c7147"</definedName>
    <definedName name="IQ_ECO_METRIC_7208_UNUSED" hidden="1">"c7208"</definedName>
    <definedName name="IQ_ECO_METRIC_7208_UNUSED_UNUSED_UNUSED" hidden="1">"c7208"</definedName>
    <definedName name="IQ_ECO_METRIC_7265_UNUSED" hidden="1">"c7265"</definedName>
    <definedName name="IQ_ECO_METRIC_7265_UNUSED_UNUSED_UNUSED" hidden="1">"c7265"</definedName>
    <definedName name="IQ_ECO_METRIC_7279_UNUSED" hidden="1">"c7279"</definedName>
    <definedName name="IQ_ECO_METRIC_7279_UNUSED_UNUSED_UNUSED" hidden="1">"c7279"</definedName>
    <definedName name="IQ_ECO_METRIC_7336_UNUSED" hidden="1">"c7336"</definedName>
    <definedName name="IQ_ECO_METRIC_7336_UNUSED_UNUSED_UNUSED" hidden="1">"c7336"</definedName>
    <definedName name="IQ_ECO_METRIC_7337_UNUSED" hidden="1">"c7337"</definedName>
    <definedName name="IQ_ECO_METRIC_7337_UNUSED_UNUSED_UNUSED" hidden="1">"c7337"</definedName>
    <definedName name="IQ_ECO_METRIC_7367" hidden="1">"c7367"</definedName>
    <definedName name="IQ_ECO_METRIC_7428_UNUSED" hidden="1">"c7428"</definedName>
    <definedName name="IQ_ECO_METRIC_7428_UNUSED_UNUSED_UNUSED" hidden="1">"c7428"</definedName>
    <definedName name="IQ_ECO_METRIC_7556_UNUSED" hidden="1">"c7556"</definedName>
    <definedName name="IQ_ECO_METRIC_7556_UNUSED_UNUSED_UNUSED" hidden="1">"c7556"</definedName>
    <definedName name="IQ_ECO_METRIC_7557_UNUSED" hidden="1">"c7557"</definedName>
    <definedName name="IQ_ECO_METRIC_7557_UNUSED_UNUSED_UNUSED" hidden="1">"c7557"</definedName>
    <definedName name="IQ_ECO_METRIC_7587" hidden="1">"c7587"</definedName>
    <definedName name="IQ_ECO_METRIC_7648_UNUSED" hidden="1">"c7648"</definedName>
    <definedName name="IQ_ECO_METRIC_7648_UNUSED_UNUSED_UNUSED" hidden="1">"c7648"</definedName>
    <definedName name="IQ_ECO_METRIC_7704" hidden="1">"c7704"</definedName>
    <definedName name="IQ_ECO_METRIC_7705_UNUSED" hidden="1">"c7705"</definedName>
    <definedName name="IQ_ECO_METRIC_7705_UNUSED_UNUSED_UNUSED" hidden="1">"c7705"</definedName>
    <definedName name="IQ_ECO_METRIC_7706" hidden="1">"c7706"</definedName>
    <definedName name="IQ_ECO_METRIC_7718" hidden="1">"c7718"</definedName>
    <definedName name="IQ_ECO_METRIC_7719_UNUSED" hidden="1">"c7719"</definedName>
    <definedName name="IQ_ECO_METRIC_7719_UNUSED_UNUSED_UNUSED" hidden="1">"c7719"</definedName>
    <definedName name="IQ_ECO_METRIC_7776_UNUSED" hidden="1">"c7776"</definedName>
    <definedName name="IQ_ECO_METRIC_7776_UNUSED_UNUSED_UNUSED" hidden="1">"c7776"</definedName>
    <definedName name="IQ_ECO_METRIC_7777_UNUSED" hidden="1">"c7777"</definedName>
    <definedName name="IQ_ECO_METRIC_7777_UNUSED_UNUSED_UNUSED" hidden="1">"c7777"</definedName>
    <definedName name="IQ_ECO_METRIC_7807" hidden="1">"c7807"</definedName>
    <definedName name="IQ_ECO_METRIC_7811" hidden="1">"c7811"</definedName>
    <definedName name="IQ_ECO_METRIC_7868_UNUSED" hidden="1">"c7868"</definedName>
    <definedName name="IQ_ECO_METRIC_7868_UNUSED_UNUSED_UNUSED" hidden="1">"c7868"</definedName>
    <definedName name="IQ_ECO_METRIC_7873" hidden="1">"c7873"</definedName>
    <definedName name="IQ_ECO_METRIC_7924" hidden="1">"c7924"</definedName>
    <definedName name="IQ_ECO_METRIC_7925_UNUSED" hidden="1">"c7925"</definedName>
    <definedName name="IQ_ECO_METRIC_7925_UNUSED_UNUSED_UNUSED" hidden="1">"c7925"</definedName>
    <definedName name="IQ_ECO_METRIC_7926" hidden="1">"c7926"</definedName>
    <definedName name="IQ_ECO_METRIC_7938" hidden="1">"c7938"</definedName>
    <definedName name="IQ_ECO_METRIC_7939_UNUSED" hidden="1">"c7939"</definedName>
    <definedName name="IQ_ECO_METRIC_7939_UNUSED_UNUSED_UNUSED" hidden="1">"c7939"</definedName>
    <definedName name="IQ_ECO_METRIC_7996_UNUSED" hidden="1">"c7996"</definedName>
    <definedName name="IQ_ECO_METRIC_7996_UNUSED_UNUSED_UNUSED" hidden="1">"c7996"</definedName>
    <definedName name="IQ_ECO_METRIC_7997_UNUSED" hidden="1">"c7997"</definedName>
    <definedName name="IQ_ECO_METRIC_7997_UNUSED_UNUSED_UNUSED" hidden="1">"c7997"</definedName>
    <definedName name="IQ_ECO_METRIC_8027" hidden="1">"c8027"</definedName>
    <definedName name="IQ_ECO_METRIC_8031" hidden="1">"c8031"</definedName>
    <definedName name="IQ_ECO_METRIC_8088_UNUSED" hidden="1">"c8088"</definedName>
    <definedName name="IQ_ECO_METRIC_8088_UNUSED_UNUSED_UNUSED" hidden="1">"c8088"</definedName>
    <definedName name="IQ_ECO_METRIC_8093" hidden="1">"c8093"</definedName>
    <definedName name="IQ_ECO_METRIC_8144" hidden="1">"c8144"</definedName>
    <definedName name="IQ_ECO_METRIC_8145_UNUSED" hidden="1">"c8145"</definedName>
    <definedName name="IQ_ECO_METRIC_8145_UNUSED_UNUSED_UNUSED" hidden="1">"c8145"</definedName>
    <definedName name="IQ_ECO_METRIC_8146" hidden="1">"c8146"</definedName>
    <definedName name="IQ_ECO_METRIC_8158" hidden="1">"c8158"</definedName>
    <definedName name="IQ_ECO_METRIC_8159_UNUSED" hidden="1">"c8159"</definedName>
    <definedName name="IQ_ECO_METRIC_8159_UNUSED_UNUSED_UNUSED" hidden="1">"c8159"</definedName>
    <definedName name="IQ_ECO_METRIC_8216_UNUSED" hidden="1">"c8216"</definedName>
    <definedName name="IQ_ECO_METRIC_8216_UNUSED_UNUSED_UNUSED" hidden="1">"c8216"</definedName>
    <definedName name="IQ_ECO_METRIC_8217_UNUSED" hidden="1">"c8217"</definedName>
    <definedName name="IQ_ECO_METRIC_8217_UNUSED_UNUSED_UNUSED" hidden="1">"c8217"</definedName>
    <definedName name="IQ_ECO_METRIC_8247" hidden="1">"c8247"</definedName>
    <definedName name="IQ_ECO_METRIC_8251" hidden="1">"c8251"</definedName>
    <definedName name="IQ_ECO_METRIC_8308_UNUSED" hidden="1">"c8308"</definedName>
    <definedName name="IQ_ECO_METRIC_8308_UNUSED_UNUSED_UNUSED" hidden="1">"c8308"</definedName>
    <definedName name="IQ_ECO_METRIC_8313" hidden="1">"c8313"</definedName>
    <definedName name="IQ_ECO_METRIC_8366" hidden="1">"c8366"</definedName>
    <definedName name="IQ_ECO_METRIC_8378" hidden="1">"c8378"</definedName>
    <definedName name="IQ_ECO_METRIC_8436_UNUSED" hidden="1">"c8436"</definedName>
    <definedName name="IQ_ECO_METRIC_8436_UNUSED_UNUSED_UNUSED" hidden="1">"c8436"</definedName>
    <definedName name="IQ_ECO_METRIC_8437_UNUSED" hidden="1">"c8437"</definedName>
    <definedName name="IQ_ECO_METRIC_8437_UNUSED_UNUSED_UNUSED" hidden="1">"c8437"</definedName>
    <definedName name="IQ_ECO_METRIC_8467" hidden="1">"c8467"</definedName>
    <definedName name="IQ_ECO_METRIC_8471" hidden="1">"c8471"</definedName>
    <definedName name="IQ_ECO_METRIC_8528_UNUSED" hidden="1">"c8528"</definedName>
    <definedName name="IQ_ECO_METRIC_8528_UNUSED_UNUSED_UNUSED" hidden="1">"c8528"</definedName>
    <definedName name="IQ_ECO_METRIC_8533" hidden="1">"c8533"</definedName>
    <definedName name="IQ_ECS_AUTHORIZED_SHARES" hidden="1">"c5583"</definedName>
    <definedName name="IQ_ECS_AUTHORIZED_SHARES_ABS" hidden="1">"c5597"</definedName>
    <definedName name="IQ_ECS_CONVERT_FACTOR" hidden="1">"c5581"</definedName>
    <definedName name="IQ_ECS_CONVERT_FACTOR_ABS" hidden="1">"c5595"</definedName>
    <definedName name="IQ_ECS_CONVERT_INTO" hidden="1">"c5580"</definedName>
    <definedName name="IQ_ECS_CONVERT_INTO_ABS" hidden="1">"c5594"</definedName>
    <definedName name="IQ_ECS_CONVERT_TYPE" hidden="1">"c5579"</definedName>
    <definedName name="IQ_ECS_CONVERT_TYPE_ABS" hidden="1">"c5593"</definedName>
    <definedName name="IQ_ECS_INACTIVE_DATE" hidden="1">"c5576"</definedName>
    <definedName name="IQ_ECS_INACTIVE_DATE_ABS" hidden="1">"c5590"</definedName>
    <definedName name="IQ_ECS_NAME" hidden="1">"c5571"</definedName>
    <definedName name="IQ_ECS_NAME_ABS" hidden="1">"c5585"</definedName>
    <definedName name="IQ_ECS_NUM_SHAREHOLDERS" hidden="1">"c5584"</definedName>
    <definedName name="IQ_ECS_NUM_SHAREHOLDERS_ABS" hidden="1">"c5598"</definedName>
    <definedName name="IQ_ECS_PAR_VALUE" hidden="1">"c5577"</definedName>
    <definedName name="IQ_ECS_PAR_VALUE_ABS" hidden="1">"c5591"</definedName>
    <definedName name="IQ_ECS_PAR_VALUE_CURRENCY" hidden="1">"c5578"</definedName>
    <definedName name="IQ_ECS_PAR_VALUE_CURRENCY_ABS" hidden="1">"c5592"</definedName>
    <definedName name="IQ_ECS_SHARES_OUT_BS_DATE" hidden="1">"c5572"</definedName>
    <definedName name="IQ_ECS_SHARES_OUT_BS_DATE_ABS" hidden="1">"c5586"</definedName>
    <definedName name="IQ_ECS_SHARES_OUT_FILING_DATE" hidden="1">"c5573"</definedName>
    <definedName name="IQ_ECS_SHARES_OUT_FILING_DATE_ABS" hidden="1">"c5587"</definedName>
    <definedName name="IQ_ECS_START_DATE" hidden="1">"c5575"</definedName>
    <definedName name="IQ_ECS_START_DATE_ABS" hidden="1">"c5589"</definedName>
    <definedName name="IQ_ECS_TYPE" hidden="1">"c5574"</definedName>
    <definedName name="IQ_ECS_TYPE_ABS" hidden="1">"c5588"</definedName>
    <definedName name="IQ_ECS_VOTING" hidden="1">"c5582"</definedName>
    <definedName name="IQ_ECS_VOTING_ABS" hidden="1">"c5596"</definedName>
    <definedName name="IQ_EFFECT_SPECIAL_CHARGE" hidden="1">"c1595"</definedName>
    <definedName name="IQ_EFFECT_TAX_RATE" hidden="1">"c1899"</definedName>
    <definedName name="IQ_EFFECTIVE_DATE" hidden="1">"c8966"</definedName>
    <definedName name="IQ_EFFICIENCY_RATIO" hidden="1">"c391"</definedName>
    <definedName name="IQ_EFFICIENCY_RATIO_FDIC" hidden="1">"c6736"</definedName>
    <definedName name="IQ_EMBEDDED_VAL_COVERED" hidden="1">"c9962"</definedName>
    <definedName name="IQ_EMBEDDED_VAL_COVERED_BEG" hidden="1">"c9957"</definedName>
    <definedName name="IQ_EMBEDDED_VAL_GROUP" hidden="1">"c9948"</definedName>
    <definedName name="IQ_EMBEDDED_VAL_GROUP_BEG" hidden="1">"c9943"</definedName>
    <definedName name="IQ_EMPLOY_COST_INDEX_BENEFITS" hidden="1">"c6857"</definedName>
    <definedName name="IQ_EMPLOY_COST_INDEX_BENEFITS_APR" hidden="1">"c7517"</definedName>
    <definedName name="IQ_EMPLOY_COST_INDEX_BENEFITS_APR_FC" hidden="1">"c8397"</definedName>
    <definedName name="IQ_EMPLOY_COST_INDEX_BENEFITS_FC" hidden="1">"c7737"</definedName>
    <definedName name="IQ_EMPLOY_COST_INDEX_BENEFITS_POP" hidden="1">"c7077"</definedName>
    <definedName name="IQ_EMPLOY_COST_INDEX_BENEFITS_POP_FC" hidden="1">"c7957"</definedName>
    <definedName name="IQ_EMPLOY_COST_INDEX_BENEFITS_YOY" hidden="1">"c7297"</definedName>
    <definedName name="IQ_EMPLOY_COST_INDEX_BENEFITS_YOY_FC" hidden="1">"c8177"</definedName>
    <definedName name="IQ_EMPLOY_COST_INDEX_COMP" hidden="1">"c6856"</definedName>
    <definedName name="IQ_EMPLOY_COST_INDEX_COMP_APR" hidden="1">"c7516"</definedName>
    <definedName name="IQ_EMPLOY_COST_INDEX_COMP_APR_FC" hidden="1">"c8396"</definedName>
    <definedName name="IQ_EMPLOY_COST_INDEX_COMP_FC" hidden="1">"c7736"</definedName>
    <definedName name="IQ_EMPLOY_COST_INDEX_COMP_POP" hidden="1">"c7076"</definedName>
    <definedName name="IQ_EMPLOY_COST_INDEX_COMP_POP_FC" hidden="1">"c7956"</definedName>
    <definedName name="IQ_EMPLOY_COST_INDEX_COMP_YOY" hidden="1">"c7296"</definedName>
    <definedName name="IQ_EMPLOY_COST_INDEX_COMP_YOY_FC" hidden="1">"c8176"</definedName>
    <definedName name="IQ_EMPLOY_COST_INDEX_WAGE_SALARY" hidden="1">"c6858"</definedName>
    <definedName name="IQ_EMPLOY_COST_INDEX_WAGE_SALARY_APR" hidden="1">"c7518"</definedName>
    <definedName name="IQ_EMPLOY_COST_INDEX_WAGE_SALARY_APR_FC" hidden="1">"c8398"</definedName>
    <definedName name="IQ_EMPLOY_COST_INDEX_WAGE_SALARY_FC" hidden="1">"c7738"</definedName>
    <definedName name="IQ_EMPLOY_COST_INDEX_WAGE_SALARY_POP" hidden="1">"c7078"</definedName>
    <definedName name="IQ_EMPLOY_COST_INDEX_WAGE_SALARY_POP_FC" hidden="1">"c7958"</definedName>
    <definedName name="IQ_EMPLOY_COST_INDEX_WAGE_SALARY_YOY" hidden="1">"c7298"</definedName>
    <definedName name="IQ_EMPLOY_COST_INDEX_WAGE_SALARY_YOY_FC" hidden="1">"c8178"</definedName>
    <definedName name="IQ_EMPLOYEES" hidden="1">"c392"</definedName>
    <definedName name="IQ_EMPLOYEES_FFIEC" hidden="1">"c13035"</definedName>
    <definedName name="IQ_ENTERPRISE_VALUE" hidden="1">"c1348"</definedName>
    <definedName name="IQ_ENTREPRENEURAL_PROPERTY_INC" hidden="1">"c6859"</definedName>
    <definedName name="IQ_ENTREPRENEURAL_PROPERTY_INC_APR" hidden="1">"c7519"</definedName>
    <definedName name="IQ_ENTREPRENEURAL_PROPERTY_INC_APR_FC" hidden="1">"c8399"</definedName>
    <definedName name="IQ_ENTREPRENEURAL_PROPERTY_INC_FC" hidden="1">"c7739"</definedName>
    <definedName name="IQ_ENTREPRENEURAL_PROPERTY_INC_POP" hidden="1">"c7079"</definedName>
    <definedName name="IQ_ENTREPRENEURAL_PROPERTY_INC_POP_FC" hidden="1">"c7959"</definedName>
    <definedName name="IQ_ENTREPRENEURAL_PROPERTY_INC_YOY" hidden="1">"c7299"</definedName>
    <definedName name="IQ_ENTREPRENEURAL_PROPERTY_INC_YOY_FC" hidden="1">"c8179"</definedName>
    <definedName name="IQ_EPS" hidden="1">"IQ_EPS"</definedName>
    <definedName name="IQ_EPS_10K" hidden="1">"IQ_EPS_10K"</definedName>
    <definedName name="IQ_EPS_10Q" hidden="1">"IQ_EPS_10Q"</definedName>
    <definedName name="IQ_EPS_10Q1" hidden="1">"IQ_EPS_10Q1"</definedName>
    <definedName name="IQ_EPS_10YR_ANN_CAGR" hidden="1">"c6085"</definedName>
    <definedName name="IQ_EPS_10YR_ANN_GROWTH" hidden="1">"c393"</definedName>
    <definedName name="IQ_EPS_1YR_ANN_GROWTH" hidden="1">"c394"</definedName>
    <definedName name="IQ_EPS_2YR_ANN_CAGR" hidden="1">"c6086"</definedName>
    <definedName name="IQ_EPS_2YR_ANN_GROWTH" hidden="1">"c395"</definedName>
    <definedName name="IQ_EPS_3YR_ANN_CAGR" hidden="1">"c6087"</definedName>
    <definedName name="IQ_EPS_3YR_ANN_GROWTH" hidden="1">"c396"</definedName>
    <definedName name="IQ_EPS_5YR_ANN_CAGR" hidden="1">"c6088"</definedName>
    <definedName name="IQ_EPS_5YR_ANN_GROWTH" hidden="1">"c397"</definedName>
    <definedName name="IQ_EPS_7YR_ANN_CAGR" hidden="1">"c6089"</definedName>
    <definedName name="IQ_EPS_7YR_ANN_GROWTH" hidden="1">"c398"</definedName>
    <definedName name="IQ_EPS_ACT_OR_EST" hidden="1">"c2213"</definedName>
    <definedName name="IQ_EPS_ACT_OR_EST_CIQ" hidden="1">"c5058"</definedName>
    <definedName name="IQ_EPS_ACT_OR_EST_REUT" hidden="1">"c5460"</definedName>
    <definedName name="IQ_EPS_AP" hidden="1">"c8880"</definedName>
    <definedName name="IQ_EPS_AP_ABS" hidden="1">"c8899"</definedName>
    <definedName name="IQ_EPS_EST" hidden="1">"c399"</definedName>
    <definedName name="IQ_EPS_EST_1" hidden="1">"IQ_EPS_EST_1"</definedName>
    <definedName name="IQ_EPS_EST_BOTTOM_UP" hidden="1">"c5489"</definedName>
    <definedName name="IQ_EPS_EST_BOTTOM_UP_CIQ" hidden="1">"c12026"</definedName>
    <definedName name="IQ_EPS_EST_BOTTOM_UP_REUT" hidden="1">"c5497"</definedName>
    <definedName name="IQ_EPS_EST_CIQ" hidden="1">"c4994"</definedName>
    <definedName name="IQ_EPS_EST_REUT" hidden="1">"c5453"</definedName>
    <definedName name="IQ_EPS_EXCL_GUIDANCE" hidden="1">"c4368"</definedName>
    <definedName name="IQ_EPS_EXCL_HIGH_GUIDANCE" hidden="1">"c4369"</definedName>
    <definedName name="IQ_EPS_EXCL_LOW_GUIDANCE" hidden="1">"c4204"</definedName>
    <definedName name="IQ_EPS_GAAP_GUIDANCE" hidden="1">"c4370"</definedName>
    <definedName name="IQ_EPS_GAAP_HIGH_GUIDANCE" hidden="1">"c4371"</definedName>
    <definedName name="IQ_EPS_GAAP_LOW_GUIDANCE" hidden="1">"c4205"</definedName>
    <definedName name="IQ_EPS_GW_ACT_OR_EST" hidden="1">"c2223"</definedName>
    <definedName name="IQ_EPS_GW_ACT_OR_EST_CIQ" hidden="1">"c5066"</definedName>
    <definedName name="IQ_EPS_GW_ACT_OR_EST_REUT" hidden="1">"c5469"</definedName>
    <definedName name="IQ_EPS_GW_EST" hidden="1">"c1737"</definedName>
    <definedName name="IQ_EPS_GW_EST_BOTTOM_UP" hidden="1">"c5491"</definedName>
    <definedName name="IQ_EPS_GW_EST_BOTTOM_UP_CIQ" hidden="1">"c12028"</definedName>
    <definedName name="IQ_EPS_GW_EST_BOTTOM_UP_REUT" hidden="1">"c5499"</definedName>
    <definedName name="IQ_EPS_GW_EST_CIQ" hidden="1">"c4723"</definedName>
    <definedName name="IQ_EPS_GW_EST_REUT" hidden="1">"c5389"</definedName>
    <definedName name="IQ_EPS_GW_GUIDANCE" hidden="1">"c4372"</definedName>
    <definedName name="IQ_EPS_GW_HIGH_EST" hidden="1">"c1739"</definedName>
    <definedName name="IQ_EPS_GW_HIGH_EST_CIQ" hidden="1">"c4725"</definedName>
    <definedName name="IQ_EPS_GW_HIGH_EST_REUT" hidden="1">"c5391"</definedName>
    <definedName name="IQ_EPS_GW_HIGH_GUIDANCE" hidden="1">"c4373"</definedName>
    <definedName name="IQ_EPS_GW_LOW_EST" hidden="1">"c1740"</definedName>
    <definedName name="IQ_EPS_GW_LOW_EST_CIQ" hidden="1">"c4726"</definedName>
    <definedName name="IQ_EPS_GW_LOW_EST_REUT" hidden="1">"c5392"</definedName>
    <definedName name="IQ_EPS_GW_LOW_GUIDANCE" hidden="1">"c4206"</definedName>
    <definedName name="IQ_EPS_GW_MEDIAN_EST" hidden="1">"c1738"</definedName>
    <definedName name="IQ_EPS_GW_MEDIAN_EST_CIQ" hidden="1">"c4724"</definedName>
    <definedName name="IQ_EPS_GW_MEDIAN_EST_REUT" hidden="1">"c5390"</definedName>
    <definedName name="IQ_EPS_GW_NUM_EST" hidden="1">"c1741"</definedName>
    <definedName name="IQ_EPS_GW_NUM_EST_CIQ" hidden="1">"c4727"</definedName>
    <definedName name="IQ_EPS_GW_NUM_EST_REUT" hidden="1">"c5393"</definedName>
    <definedName name="IQ_EPS_GW_STDDEV_EST" hidden="1">"c1742"</definedName>
    <definedName name="IQ_EPS_GW_STDDEV_EST_CIQ" hidden="1">"c4728"</definedName>
    <definedName name="IQ_EPS_GW_STDDEV_EST_REUT" hidden="1">"c5394"</definedName>
    <definedName name="IQ_EPS_HIGH_EST" hidden="1">"c400"</definedName>
    <definedName name="IQ_EPS_HIGH_EST_CIQ" hidden="1">"c4995"</definedName>
    <definedName name="IQ_EPS_HIGH_EST_REUT" hidden="1">"c5454"</definedName>
    <definedName name="IQ_EPS_LOW_EST" hidden="1">"c401"</definedName>
    <definedName name="IQ_EPS_LOW_EST_CIQ" hidden="1">"c4996"</definedName>
    <definedName name="IQ_EPS_LOW_EST_REUT" hidden="1">"c5455"</definedName>
    <definedName name="IQ_EPS_MEDIAN_EST" hidden="1">"c1661"</definedName>
    <definedName name="IQ_EPS_MEDIAN_EST_CIQ" hidden="1">"c4997"</definedName>
    <definedName name="IQ_EPS_MEDIAN_EST_REUT" hidden="1">"c5456"</definedName>
    <definedName name="IQ_EPS_NAME_AP" hidden="1">"c8918"</definedName>
    <definedName name="IQ_EPS_NAME_AP_ABS" hidden="1">"c8937"</definedName>
    <definedName name="IQ_EPS_NORM" hidden="1">"c1902"</definedName>
    <definedName name="IQ_EPS_NORM_EST" hidden="1">"c2226"</definedName>
    <definedName name="IQ_EPS_NORM_EST_BOTTOM_UP" hidden="1">"c5490"</definedName>
    <definedName name="IQ_EPS_NORM_EST_BOTTOM_UP_CIQ" hidden="1">"c12027"</definedName>
    <definedName name="IQ_EPS_NORM_EST_BOTTOM_UP_REUT" hidden="1">"c5498"</definedName>
    <definedName name="IQ_EPS_NORM_EST_CIQ" hidden="1">"c4667"</definedName>
    <definedName name="IQ_EPS_NORM_EST_REUT" hidden="1">"c5326"</definedName>
    <definedName name="IQ_EPS_NORM_HIGH_EST" hidden="1">"c2228"</definedName>
    <definedName name="IQ_EPS_NORM_HIGH_EST_CIQ" hidden="1">"c4669"</definedName>
    <definedName name="IQ_EPS_NORM_HIGH_EST_REUT" hidden="1">"c5328"</definedName>
    <definedName name="IQ_EPS_NORM_LOW_EST" hidden="1">"c2229"</definedName>
    <definedName name="IQ_EPS_NORM_LOW_EST_CIQ" hidden="1">"c4670"</definedName>
    <definedName name="IQ_EPS_NORM_LOW_EST_REUT" hidden="1">"c5329"</definedName>
    <definedName name="IQ_EPS_NORM_MEDIAN_EST" hidden="1">"c2227"</definedName>
    <definedName name="IQ_EPS_NORM_MEDIAN_EST_CIQ" hidden="1">"c4668"</definedName>
    <definedName name="IQ_EPS_NORM_MEDIAN_EST_REUT" hidden="1">"c5327"</definedName>
    <definedName name="IQ_EPS_NORM_NUM_EST" hidden="1">"c2230"</definedName>
    <definedName name="IQ_EPS_NORM_NUM_EST_CIQ" hidden="1">"c4671"</definedName>
    <definedName name="IQ_EPS_NORM_NUM_EST_REUT" hidden="1">"c5330"</definedName>
    <definedName name="IQ_EPS_NORM_STDDEV_EST" hidden="1">"c2231"</definedName>
    <definedName name="IQ_EPS_NORM_STDDEV_EST_CIQ" hidden="1">"c4672"</definedName>
    <definedName name="IQ_EPS_NORM_STDDEV_EST_REUT" hidden="1">"c5331"</definedName>
    <definedName name="IQ_EPS_NUM_EST" hidden="1">"c402"</definedName>
    <definedName name="IQ_EPS_NUM_EST_CIQ" hidden="1">"c4992"</definedName>
    <definedName name="IQ_EPS_NUM_EST_REUT" hidden="1">"c5451"</definedName>
    <definedName name="IQ_EPS_REPORT_ACT_OR_EST" hidden="1">"c2224"</definedName>
    <definedName name="IQ_EPS_REPORT_ACT_OR_EST_CIQ" hidden="1">"c5067"</definedName>
    <definedName name="IQ_EPS_REPORT_ACT_OR_EST_REUT" hidden="1">"c5470"</definedName>
    <definedName name="IQ_EPS_REPORTED_EST" hidden="1">"c1744"</definedName>
    <definedName name="IQ_EPS_REPORTED_EST_BOTTOM_UP" hidden="1">"c5492"</definedName>
    <definedName name="IQ_EPS_REPORTED_EST_BOTTOM_UP_CIQ" hidden="1">"c12029"</definedName>
    <definedName name="IQ_EPS_REPORTED_EST_BOTTOM_UP_REUT" hidden="1">"c5500"</definedName>
    <definedName name="IQ_EPS_REPORTED_EST_CIQ" hidden="1">"c4730"</definedName>
    <definedName name="IQ_EPS_REPORTED_EST_REUT" hidden="1">"c5396"</definedName>
    <definedName name="IQ_EPS_REPORTED_HIGH_EST" hidden="1">"c1746"</definedName>
    <definedName name="IQ_EPS_REPORTED_HIGH_EST_CIQ" hidden="1">"c4732"</definedName>
    <definedName name="IQ_EPS_REPORTED_HIGH_EST_REUT" hidden="1">"c5398"</definedName>
    <definedName name="IQ_EPS_REPORTED_LOW_EST" hidden="1">"c1747"</definedName>
    <definedName name="IQ_EPS_REPORTED_LOW_EST_CIQ" hidden="1">"c4733"</definedName>
    <definedName name="IQ_EPS_REPORTED_LOW_EST_REUT" hidden="1">"c5399"</definedName>
    <definedName name="IQ_EPS_REPORTED_MEDIAN_EST" hidden="1">"c1745"</definedName>
    <definedName name="IQ_EPS_REPORTED_MEDIAN_EST_CIQ" hidden="1">"c4731"</definedName>
    <definedName name="IQ_EPS_REPORTED_MEDIAN_EST_REUT" hidden="1">"c5397"</definedName>
    <definedName name="IQ_EPS_REPORTED_NUM_EST" hidden="1">"c1748"</definedName>
    <definedName name="IQ_EPS_REPORTED_NUM_EST_CIQ" hidden="1">"c4734"</definedName>
    <definedName name="IQ_EPS_REPORTED_NUM_EST_REUT" hidden="1">"c5400"</definedName>
    <definedName name="IQ_EPS_REPORTED_STDDEV_EST" hidden="1">"c1749"</definedName>
    <definedName name="IQ_EPS_REPORTED_STDDEV_EST_CIQ" hidden="1">"c4735"</definedName>
    <definedName name="IQ_EPS_REPORTED_STDDEV_EST_REUT" hidden="1">"c5401"</definedName>
    <definedName name="IQ_EPS_SBC_ACT_OR_EST" hidden="1">"c4376"</definedName>
    <definedName name="IQ_EPS_SBC_ACT_OR_EST_CIQ" hidden="1">"c4901"</definedName>
    <definedName name="IQ_EPS_SBC_EST" hidden="1">"c4375"</definedName>
    <definedName name="IQ_EPS_SBC_GUIDANCE" hidden="1">"c4377"</definedName>
    <definedName name="IQ_EPS_SBC_GW_ACT_OR_EST" hidden="1">"c4380"</definedName>
    <definedName name="IQ_EPS_SBC_GW_ACT_OR_EST_CIQ" hidden="1">"c4905"</definedName>
    <definedName name="IQ_EPS_SBC_GW_EST" hidden="1">"c4379"</definedName>
    <definedName name="IQ_EPS_SBC_GW_GUIDANCE" hidden="1">"c4381"</definedName>
    <definedName name="IQ_EPS_SBC_GW_HIGH_EST" hidden="1">"c4382"</definedName>
    <definedName name="IQ_EPS_SBC_GW_HIGH_GUIDANCE" hidden="1">"c4189"</definedName>
    <definedName name="IQ_EPS_SBC_GW_LOW_EST" hidden="1">"c4383"</definedName>
    <definedName name="IQ_EPS_SBC_GW_LOW_GUIDANCE" hidden="1">"c4229"</definedName>
    <definedName name="IQ_EPS_SBC_GW_MEDIAN_EST" hidden="1">"c4384"</definedName>
    <definedName name="IQ_EPS_SBC_GW_NUM_EST" hidden="1">"c4385"</definedName>
    <definedName name="IQ_EPS_SBC_GW_STDDEV_EST" hidden="1">"c4386"</definedName>
    <definedName name="IQ_EPS_SBC_HIGH_EST" hidden="1">"c4388"</definedName>
    <definedName name="IQ_EPS_SBC_HIGH_GUIDANCE" hidden="1">"c4188"</definedName>
    <definedName name="IQ_EPS_SBC_LOW_EST" hidden="1">"c4389"</definedName>
    <definedName name="IQ_EPS_SBC_LOW_GUIDANCE" hidden="1">"c4228"</definedName>
    <definedName name="IQ_EPS_SBC_MEDIAN_EST" hidden="1">"c4390"</definedName>
    <definedName name="IQ_EPS_SBC_NUM_EST" hidden="1">"c4391"</definedName>
    <definedName name="IQ_EPS_SBC_STDDEV_EST" hidden="1">"c4392"</definedName>
    <definedName name="IQ_EPS_STDDEV_EST" hidden="1">"c403"</definedName>
    <definedName name="IQ_EPS_STDDEV_EST_CIQ" hidden="1">"c4993"</definedName>
    <definedName name="IQ_EPS_STDDEV_EST_REUT" hidden="1">"c5452"</definedName>
    <definedName name="IQ_EQUITY_AFFIL" hidden="1">"c1451"</definedName>
    <definedName name="IQ_EQUITY_AP" hidden="1">"c8887"</definedName>
    <definedName name="IQ_EQUITY_AP_ABS" hidden="1">"c8906"</definedName>
    <definedName name="IQ_EQUITY_ASSETS_TOT_FFIEC" hidden="1">"c13436"</definedName>
    <definedName name="IQ_EQUITY_BEG_EXCL_FFIEC" hidden="1">"c12957"</definedName>
    <definedName name="IQ_EQUITY_BEG_FFIEC" hidden="1">"c12959"</definedName>
    <definedName name="IQ_EQUITY_CAPITAL_ASSETS_FDIC" hidden="1">"c6744"</definedName>
    <definedName name="IQ_EQUITY_CAPITAL_QUARTERLY_AVG_FFIEC" hidden="1">"c13092"</definedName>
    <definedName name="IQ_EQUITY_ENDING_FFIEC" hidden="1">"c12973"</definedName>
    <definedName name="IQ_EQUITY_FDIC" hidden="1">"c6353"</definedName>
    <definedName name="IQ_EQUITY_INDEX_EXPOSURE_FFIEC" hidden="1">"c13060"</definedName>
    <definedName name="IQ_EQUITY_METHOD" hidden="1">"c404"</definedName>
    <definedName name="IQ_EQUITY_NAME_AP" hidden="1">"c8925"</definedName>
    <definedName name="IQ_EQUITY_NAME_AP_ABS" hidden="1">"c8944"</definedName>
    <definedName name="IQ_EQUITY_SEC_FAIR_VALUE_FFIEC" hidden="1">"c12805"</definedName>
    <definedName name="IQ_EQUITY_SEC_INVEST_SECURITIES_FFIEC" hidden="1">"c13463"</definedName>
    <definedName name="IQ_EQUITY_SECURITIES_FDIC" hidden="1">"c6304"</definedName>
    <definedName name="IQ_EQUITY_SECURITIES_WITHOUT_FAIR_VALUES_FFIEC" hidden="1">"c12846"</definedName>
    <definedName name="IQ_EQUITY_SECURITY_EXPOSURES_FDIC" hidden="1">"c6664"</definedName>
    <definedName name="IQ_EQV_OVER_BV" hidden="1">"c1596"</definedName>
    <definedName name="IQ_EQV_OVER_LTM_PRETAX_INC" hidden="1">"c1390"</definedName>
    <definedName name="IQ_ESOP_DEBT" hidden="1">"c1597"</definedName>
    <definedName name="IQ_ESOP_DEBT_GUARANTEED_FFIEC" hidden="1">"c12971"</definedName>
    <definedName name="IQ_EST_ACT_BV_REUT" hidden="1">"c5409"</definedName>
    <definedName name="IQ_EST_ACT_BV_SHARE" hidden="1">"c3549"</definedName>
    <definedName name="IQ_EST_ACT_BV_SHARE_REUT" hidden="1">"c5445"</definedName>
    <definedName name="IQ_EST_ACT_CAPEX" hidden="1">"c3546"</definedName>
    <definedName name="IQ_EST_ACT_CAPEX_REUT" hidden="1">"c3975"</definedName>
    <definedName name="IQ_EST_ACT_CASH_FLOW" hidden="1">"c4394"</definedName>
    <definedName name="IQ_EST_ACT_CASH_OPER" hidden="1">"c4395"</definedName>
    <definedName name="IQ_EST_ACT_CFPS" hidden="1">"c1673"</definedName>
    <definedName name="IQ_EST_ACT_CFPS_REUT" hidden="1">"c3850"</definedName>
    <definedName name="IQ_EST_ACT_DISTRIBUTABLE_CASH" hidden="1">"c4396"</definedName>
    <definedName name="IQ_EST_ACT_DISTRIBUTABLE_CASH_SHARE" hidden="1">"c4397"</definedName>
    <definedName name="IQ_EST_ACT_DPS" hidden="1">"c1680"</definedName>
    <definedName name="IQ_EST_ACT_DPS_REUT" hidden="1">"c3857"</definedName>
    <definedName name="IQ_EST_ACT_EBIT" hidden="1">"c1687"</definedName>
    <definedName name="IQ_EST_ACT_EBIT_GW" hidden="1">"c4398"</definedName>
    <definedName name="IQ_EST_ACT_EBIT_REUT" hidden="1">"c5339"</definedName>
    <definedName name="IQ_EST_ACT_EBIT_SBC" hidden="1">"c4399"</definedName>
    <definedName name="IQ_EST_ACT_EBIT_SBC_GW" hidden="1">"c4400"</definedName>
    <definedName name="IQ_EST_ACT_EBITDA" hidden="1">"c1664"</definedName>
    <definedName name="IQ_EST_ACT_EBITDA_CIQ" hidden="1">"c3667"</definedName>
    <definedName name="IQ_EST_ACT_EBITDA_REUT" hidden="1">"c3836"</definedName>
    <definedName name="IQ_EST_ACT_EBITDA_SBC" hidden="1">"c4401"</definedName>
    <definedName name="IQ_EST_ACT_EBT_SBC" hidden="1">"c4402"</definedName>
    <definedName name="IQ_EST_ACT_EBT_SBC_GW" hidden="1">"c4403"</definedName>
    <definedName name="IQ_EST_ACT_EPS" hidden="1">"c1648"</definedName>
    <definedName name="IQ_EST_ACT_EPS_CIQ" hidden="1">"c4998"</definedName>
    <definedName name="IQ_EST_ACT_EPS_GW" hidden="1">"c1743"</definedName>
    <definedName name="IQ_EST_ACT_EPS_GW_CIQ" hidden="1">"c4729"</definedName>
    <definedName name="IQ_EST_ACT_EPS_GW_REUT" hidden="1">"c5395"</definedName>
    <definedName name="IQ_EST_ACT_EPS_NORM" hidden="1">"c2232"</definedName>
    <definedName name="IQ_EST_ACT_EPS_NORM_CIQ" hidden="1">"c4673"</definedName>
    <definedName name="IQ_EST_ACT_EPS_NORM_REUT" hidden="1">"c5332"</definedName>
    <definedName name="IQ_EST_ACT_EPS_REPORTED" hidden="1">"c1750"</definedName>
    <definedName name="IQ_EST_ACT_EPS_REPORTED_CIQ" hidden="1">"c4736"</definedName>
    <definedName name="IQ_EST_ACT_EPS_REPORTED_REUT" hidden="1">"c5402"</definedName>
    <definedName name="IQ_EST_ACT_EPS_REUT" hidden="1">"c5457"</definedName>
    <definedName name="IQ_EST_ACT_EPS_SBC" hidden="1">"c4404"</definedName>
    <definedName name="IQ_EST_ACT_EPS_SBC_GW" hidden="1">"c4405"</definedName>
    <definedName name="IQ_EST_ACT_FFO" hidden="1">"c1666"</definedName>
    <definedName name="IQ_EST_ACT_FFO_ADJ" hidden="1">"c4406"</definedName>
    <definedName name="IQ_EST_ACT_FFO_REUT" hidden="1">"c3843"</definedName>
    <definedName name="IQ_EST_ACT_FFO_SHARE" hidden="1">"c4407"</definedName>
    <definedName name="IQ_EST_ACT_GROSS_MARGIN" hidden="1">"c5553"</definedName>
    <definedName name="IQ_EST_ACT_MAINT_CAPEX" hidden="1">"c4408"</definedName>
    <definedName name="IQ_EST_ACT_NAV" hidden="1">"c1757"</definedName>
    <definedName name="IQ_EST_ACT_NET_DEBT" hidden="1">"c3545"</definedName>
    <definedName name="IQ_EST_ACT_NET_DEBT_REUT" hidden="1">"c5446"</definedName>
    <definedName name="IQ_EST_ACT_NI" hidden="1">"c1722"</definedName>
    <definedName name="IQ_EST_ACT_NI_GW" hidden="1">"c1729"</definedName>
    <definedName name="IQ_EST_ACT_NI_GW_REUT" hidden="1">"c5381"</definedName>
    <definedName name="IQ_EST_ACT_NI_REPORTED" hidden="1">"c1736"</definedName>
    <definedName name="IQ_EST_ACT_NI_REPORTED_REUT" hidden="1">"c5388"</definedName>
    <definedName name="IQ_EST_ACT_NI_REUT" hidden="1">"c5374"</definedName>
    <definedName name="IQ_EST_ACT_NI_SBC" hidden="1">"c4409"</definedName>
    <definedName name="IQ_EST_ACT_NI_SBC_GW" hidden="1">"c4410"</definedName>
    <definedName name="IQ_EST_ACT_OPER_INC" hidden="1">"c1694"</definedName>
    <definedName name="IQ_EST_ACT_OPER_INC_REUT" hidden="1">"c5346"</definedName>
    <definedName name="IQ_EST_ACT_PRETAX_GW_INC" hidden="1">"c1708"</definedName>
    <definedName name="IQ_EST_ACT_PRETAX_GW_INC_REUT" hidden="1">"c5360"</definedName>
    <definedName name="IQ_EST_ACT_PRETAX_INC" hidden="1">"c1701"</definedName>
    <definedName name="IQ_EST_ACT_PRETAX_INC_REUT" hidden="1">"c5353"</definedName>
    <definedName name="IQ_EST_ACT_PRETAX_REPORT_INC" hidden="1">"c1715"</definedName>
    <definedName name="IQ_EST_ACT_PRETAX_REPORT_INC_REUT" hidden="1">"c5367"</definedName>
    <definedName name="IQ_EST_ACT_RECURRING_PROFIT" hidden="1">"c4411"</definedName>
    <definedName name="IQ_EST_ACT_RECURRING_PROFIT_SHARE" hidden="1">"c4412"</definedName>
    <definedName name="IQ_EST_ACT_RETURN_ASSETS" hidden="1">"c3547"</definedName>
    <definedName name="IQ_EST_ACT_RETURN_ASSETS_REUT" hidden="1">"c3996"</definedName>
    <definedName name="IQ_EST_ACT_RETURN_EQUITY" hidden="1">"c3548"</definedName>
    <definedName name="IQ_EST_ACT_RETURN_EQUITY_REUT" hidden="1">"c3989"</definedName>
    <definedName name="IQ_EST_ACT_REV" hidden="1">"c2113"</definedName>
    <definedName name="IQ_EST_ACT_REV_CIQ" hidden="1">"c3666"</definedName>
    <definedName name="IQ_EST_ACT_REV_REUT" hidden="1">"c3835"</definedName>
    <definedName name="IQ_EST_BV_DIFF_REUT" hidden="1">"c5433"</definedName>
    <definedName name="IQ_EST_BV_SHARE_DIFF" hidden="1">"c4147"</definedName>
    <definedName name="IQ_EST_BV_SHARE_SURPRISE_PERCENT" hidden="1">"c4148"</definedName>
    <definedName name="IQ_EST_BV_SURPRISE_PERCENT_REUT" hidden="1">"c5434"</definedName>
    <definedName name="IQ_EST_CAPEX_DIFF" hidden="1">"c4149"</definedName>
    <definedName name="IQ_EST_CAPEX_GROWTH_1YR" hidden="1">"c3588"</definedName>
    <definedName name="IQ_EST_CAPEX_GROWTH_1YR_REUT" hidden="1">"c5447"</definedName>
    <definedName name="IQ_EST_CAPEX_GROWTH_2YR" hidden="1">"c3589"</definedName>
    <definedName name="IQ_EST_CAPEX_GROWTH_2YR_REUT" hidden="1">"c5448"</definedName>
    <definedName name="IQ_EST_CAPEX_GROWTH_Q_1YR" hidden="1">"c3590"</definedName>
    <definedName name="IQ_EST_CAPEX_GROWTH_Q_1YR_REUT" hidden="1">"c5449"</definedName>
    <definedName name="IQ_EST_CAPEX_SEQ_GROWTH_Q" hidden="1">"c3591"</definedName>
    <definedName name="IQ_EST_CAPEX_SEQ_GROWTH_Q_REUT" hidden="1">"c5450"</definedName>
    <definedName name="IQ_EST_CAPEX_SURPRISE_PERCENT" hidden="1">"c4151"</definedName>
    <definedName name="IQ_EST_CASH_FLOW_DIFF" hidden="1">"c4152"</definedName>
    <definedName name="IQ_EST_CASH_FLOW_SURPRISE_PERCENT" hidden="1">"c4161"</definedName>
    <definedName name="IQ_EST_CASH_OPER_DIFF" hidden="1">"c4162"</definedName>
    <definedName name="IQ_EST_CASH_OPER_SURPRISE_PERCENT" hidden="1">"c4248"</definedName>
    <definedName name="IQ_EST_CFPS_DIFF" hidden="1">"c1871"</definedName>
    <definedName name="IQ_EST_CFPS_DIFF_REUT" hidden="1">"c3892"</definedName>
    <definedName name="IQ_EST_CFPS_GROWTH_1YR" hidden="1">"c1774"</definedName>
    <definedName name="IQ_EST_CFPS_GROWTH_1YR_REUT" hidden="1">"c3878"</definedName>
    <definedName name="IQ_EST_CFPS_GROWTH_2YR" hidden="1">"c1775"</definedName>
    <definedName name="IQ_EST_CFPS_GROWTH_2YR_REUT" hidden="1">"c3879"</definedName>
    <definedName name="IQ_EST_CFPS_GROWTH_Q_1YR" hidden="1">"c1776"</definedName>
    <definedName name="IQ_EST_CFPS_GROWTH_Q_1YR_REUT" hidden="1">"c3880"</definedName>
    <definedName name="IQ_EST_CFPS_SEQ_GROWTH_Q" hidden="1">"c1777"</definedName>
    <definedName name="IQ_EST_CFPS_SEQ_GROWTH_Q_REUT" hidden="1">"c3881"</definedName>
    <definedName name="IQ_EST_CFPS_SURPRISE_PERCENT" hidden="1">"c1872"</definedName>
    <definedName name="IQ_EST_CFPS_SURPRISE_PERCENT_REUT" hidden="1">"c3893"</definedName>
    <definedName name="IQ_EST_CURRENCY" hidden="1">"c2140"</definedName>
    <definedName name="IQ_EST_CURRENCY_CIQ" hidden="1">"c4769"</definedName>
    <definedName name="IQ_EST_CURRENCY_REUT" hidden="1">"c5437"</definedName>
    <definedName name="IQ_EST_DATE" hidden="1">"c1634"</definedName>
    <definedName name="IQ_EST_DATE_CIQ" hidden="1">"c4770"</definedName>
    <definedName name="IQ_EST_DATE_REUT" hidden="1">"c5438"</definedName>
    <definedName name="IQ_EST_DISTRIBUTABLE_CASH_DIFF" hidden="1">"c4276"</definedName>
    <definedName name="IQ_EST_DISTRIBUTABLE_CASH_GROWTH_1YR" hidden="1">"c4413"</definedName>
    <definedName name="IQ_EST_DISTRIBUTABLE_CASH_GROWTH_2YR" hidden="1">"c4414"</definedName>
    <definedName name="IQ_EST_DISTRIBUTABLE_CASH_GROWTH_Q_1YR" hidden="1">"c4415"</definedName>
    <definedName name="IQ_EST_DISTRIBUTABLE_CASH_SEQ_GROWTH_Q" hidden="1">"c4416"</definedName>
    <definedName name="IQ_EST_DISTRIBUTABLE_CASH_SHARE_DIFF" hidden="1">"c4284"</definedName>
    <definedName name="IQ_EST_DISTRIBUTABLE_CASH_SHARE_GROWTH_1YR" hidden="1">"c4417"</definedName>
    <definedName name="IQ_EST_DISTRIBUTABLE_CASH_SHARE_GROWTH_2YR" hidden="1">"c4418"</definedName>
    <definedName name="IQ_EST_DISTRIBUTABLE_CASH_SHARE_GROWTH_Q_1YR" hidden="1">"c4419"</definedName>
    <definedName name="IQ_EST_DISTRIBUTABLE_CASH_SHARE_SEQ_GROWTH_Q" hidden="1">"c4420"</definedName>
    <definedName name="IQ_EST_DISTRIBUTABLE_CASH_SHARE_SURPRISE_PERCENT" hidden="1">"c4293"</definedName>
    <definedName name="IQ_EST_DISTRIBUTABLE_CASH_SURPRISE_PERCENT" hidden="1">"c4295"</definedName>
    <definedName name="IQ_EST_DPS_DIFF" hidden="1">"c1873"</definedName>
    <definedName name="IQ_EST_DPS_DIFF_REUT" hidden="1">"c3894"</definedName>
    <definedName name="IQ_EST_DPS_GROWTH_1YR" hidden="1">"c1778"</definedName>
    <definedName name="IQ_EST_DPS_GROWTH_1YR_REUT" hidden="1">"c3882"</definedName>
    <definedName name="IQ_EST_DPS_GROWTH_2YR" hidden="1">"c1779"</definedName>
    <definedName name="IQ_EST_DPS_GROWTH_2YR_REUT" hidden="1">"c3883"</definedName>
    <definedName name="IQ_EST_DPS_GROWTH_Q_1YR" hidden="1">"c1780"</definedName>
    <definedName name="IQ_EST_DPS_GROWTH_Q_1YR_REUT" hidden="1">"c3884"</definedName>
    <definedName name="IQ_EST_DPS_SEQ_GROWTH_Q" hidden="1">"c1781"</definedName>
    <definedName name="IQ_EST_DPS_SEQ_GROWTH_Q_REUT" hidden="1">"c3885"</definedName>
    <definedName name="IQ_EST_DPS_SURPRISE_PERCENT" hidden="1">"c1874"</definedName>
    <definedName name="IQ_EST_DPS_SURPRISE_PERCENT_REUT" hidden="1">"c3895"</definedName>
    <definedName name="IQ_EST_EBIT_DIFF" hidden="1">"c1875"</definedName>
    <definedName name="IQ_EST_EBIT_DIFF_REUT" hidden="1">"c5413"</definedName>
    <definedName name="IQ_EST_EBIT_GW_DIFF" hidden="1">"c4304"</definedName>
    <definedName name="IQ_EST_EBIT_GW_SURPRISE_PERCENT" hidden="1">"c4313"</definedName>
    <definedName name="IQ_EST_EBIT_SBC_DIFF" hidden="1">"c4314"</definedName>
    <definedName name="IQ_EST_EBIT_SBC_GW_DIFF" hidden="1">"c4318"</definedName>
    <definedName name="IQ_EST_EBIT_SBC_GW_SURPRISE_PERCENT" hidden="1">"c4327"</definedName>
    <definedName name="IQ_EST_EBIT_SBC_SURPRISE_PERCENT" hidden="1">"c4333"</definedName>
    <definedName name="IQ_EST_EBIT_SURPRISE_PERCENT" hidden="1">"c1876"</definedName>
    <definedName name="IQ_EST_EBIT_SURPRISE_PERCENT_REUT" hidden="1">"c5414"</definedName>
    <definedName name="IQ_EST_EBITDA_DIFF" hidden="1">"c1867"</definedName>
    <definedName name="IQ_EST_EBITDA_DIFF_CIQ" hidden="1">"c3719"</definedName>
    <definedName name="IQ_EST_EBITDA_DIFF_REUT" hidden="1">"c3888"</definedName>
    <definedName name="IQ_EST_EBITDA_GROWTH_1YR" hidden="1">"c1766"</definedName>
    <definedName name="IQ_EST_EBITDA_GROWTH_1YR_REUT" hidden="1">"c3864"</definedName>
    <definedName name="IQ_EST_EBITDA_GROWTH_2YR" hidden="1">"c1767"</definedName>
    <definedName name="IQ_EST_EBITDA_GROWTH_2YR_REUT" hidden="1">"c3865"</definedName>
    <definedName name="IQ_EST_EBITDA_GROWTH_Q_1YR" hidden="1">"c1768"</definedName>
    <definedName name="IQ_EST_EBITDA_GROWTH_Q_1YR_REUT" hidden="1">"c3866"</definedName>
    <definedName name="IQ_EST_EBITDA_SBC_DIFF" hidden="1">"c4335"</definedName>
    <definedName name="IQ_EST_EBITDA_SBC_SURPRISE_PERCENT" hidden="1">"c4344"</definedName>
    <definedName name="IQ_EST_EBITDA_SEQ_GROWTH_Q" hidden="1">"c1769"</definedName>
    <definedName name="IQ_EST_EBITDA_SEQ_GROWTH_Q_REUT" hidden="1">"c3867"</definedName>
    <definedName name="IQ_EST_EBITDA_SURPRISE_PERCENT" hidden="1">"c1868"</definedName>
    <definedName name="IQ_EST_EBITDA_SURPRISE_PERCENT_CIQ" hidden="1">"c3720"</definedName>
    <definedName name="IQ_EST_EBITDA_SURPRISE_PERCENT_REUT" hidden="1">"c3889"</definedName>
    <definedName name="IQ_EST_EBT_SBC_DIFF" hidden="1">"c4348"</definedName>
    <definedName name="IQ_EST_EBT_SBC_GW_DIFF" hidden="1">"c4352"</definedName>
    <definedName name="IQ_EST_EBT_SBC_GW_SURPRISE_PERCENT" hidden="1">"c4361"</definedName>
    <definedName name="IQ_EST_EBT_SBC_SURPRISE_PERCENT" hidden="1">"c4367"</definedName>
    <definedName name="IQ_EST_EPS_DIFF" hidden="1">"c1864"</definedName>
    <definedName name="IQ_EST_EPS_DIFF_CIQ" hidden="1">"c4999"</definedName>
    <definedName name="IQ_EST_EPS_DIFF_REUT" hidden="1">"c5458"</definedName>
    <definedName name="IQ_EST_EPS_GROWTH_1YR" hidden="1">"c1636"</definedName>
    <definedName name="IQ_EST_EPS_GROWTH_1YR_CIQ" hidden="1">"c3628"</definedName>
    <definedName name="IQ_EST_EPS_GROWTH_1YR_REUT" hidden="1">"c3646"</definedName>
    <definedName name="IQ_EST_EPS_GROWTH_2YR" hidden="1">"c1637"</definedName>
    <definedName name="IQ_EST_EPS_GROWTH_2YR_REUT" hidden="1">"c3858"</definedName>
    <definedName name="IQ_EST_EPS_GROWTH_5YR" hidden="1">"c1655"</definedName>
    <definedName name="IQ_EST_EPS_GROWTH_5YR_BOTTOM_UP" hidden="1">"c5487"</definedName>
    <definedName name="IQ_EST_EPS_GROWTH_5YR_BOTTOM_UP_CIQ" hidden="1">"c12024"</definedName>
    <definedName name="IQ_EST_EPS_GROWTH_5YR_BOTTOM_UP_REUT" hidden="1">"c5495"</definedName>
    <definedName name="IQ_EST_EPS_GROWTH_5YR_CIQ" hidden="1">"c3615"</definedName>
    <definedName name="IQ_EST_EPS_GROWTH_5YR_HIGH" hidden="1">"c1657"</definedName>
    <definedName name="IQ_EST_EPS_GROWTH_5YR_HIGH_CIQ" hidden="1">"c4663"</definedName>
    <definedName name="IQ_EST_EPS_GROWTH_5YR_HIGH_REUT" hidden="1">"c5322"</definedName>
    <definedName name="IQ_EST_EPS_GROWTH_5YR_LOW" hidden="1">"c1658"</definedName>
    <definedName name="IQ_EST_EPS_GROWTH_5YR_LOW_CIQ" hidden="1">"c4664"</definedName>
    <definedName name="IQ_EST_EPS_GROWTH_5YR_LOW_REUT" hidden="1">"c5323"</definedName>
    <definedName name="IQ_EST_EPS_GROWTH_5YR_MEDIAN" hidden="1">"c1656"</definedName>
    <definedName name="IQ_EST_EPS_GROWTH_5YR_MEDIAN_CIQ" hidden="1">"c5480"</definedName>
    <definedName name="IQ_EST_EPS_GROWTH_5YR_MEDIAN_REUT" hidden="1">"c5321"</definedName>
    <definedName name="IQ_EST_EPS_GROWTH_5YR_NUM" hidden="1">"c1659"</definedName>
    <definedName name="IQ_EST_EPS_GROWTH_5YR_NUM_CIQ" hidden="1">"c4665"</definedName>
    <definedName name="IQ_EST_EPS_GROWTH_5YR_NUM_REUT" hidden="1">"c5324"</definedName>
    <definedName name="IQ_EST_EPS_GROWTH_5YR_REUT" hidden="1">"c3633"</definedName>
    <definedName name="IQ_EST_EPS_GROWTH_5YR_STDDEV" hidden="1">"c1660"</definedName>
    <definedName name="IQ_EST_EPS_GROWTH_5YR_STDDEV_CIQ" hidden="1">"c4666"</definedName>
    <definedName name="IQ_EST_EPS_GROWTH_5YR_STDDEV_REUT" hidden="1">"c5325"</definedName>
    <definedName name="IQ_EST_EPS_GROWTH_Q_1YR" hidden="1">"c1641"</definedName>
    <definedName name="IQ_EST_EPS_GROWTH_Q_1YR_CIQ" hidden="1">"c4744"</definedName>
    <definedName name="IQ_EST_EPS_GROWTH_Q_1YR_REUT" hidden="1">"c5410"</definedName>
    <definedName name="IQ_EST_EPS_GW_DIFF" hidden="1">"c1891"</definedName>
    <definedName name="IQ_EST_EPS_GW_DIFF_CIQ" hidden="1">"c4761"</definedName>
    <definedName name="IQ_EST_EPS_GW_DIFF_REUT" hidden="1">"c5429"</definedName>
    <definedName name="IQ_EST_EPS_GW_SURPRISE_PERCENT" hidden="1">"c1892"</definedName>
    <definedName name="IQ_EST_EPS_GW_SURPRISE_PERCENT_CIQ" hidden="1">"c4762"</definedName>
    <definedName name="IQ_EST_EPS_GW_SURPRISE_PERCENT_REUT" hidden="1">"c5430"</definedName>
    <definedName name="IQ_EST_EPS_NORM_DIFF" hidden="1">"c2247"</definedName>
    <definedName name="IQ_EST_EPS_NORM_DIFF_CIQ" hidden="1">"c4745"</definedName>
    <definedName name="IQ_EST_EPS_NORM_DIFF_REUT" hidden="1">"c5411"</definedName>
    <definedName name="IQ_EST_EPS_NORM_SURPRISE_PERCENT" hidden="1">"c2248"</definedName>
    <definedName name="IQ_EST_EPS_NORM_SURPRISE_PERCENT_CIQ" hidden="1">"c4746"</definedName>
    <definedName name="IQ_EST_EPS_NORM_SURPRISE_PERCENT_REUT" hidden="1">"c5412"</definedName>
    <definedName name="IQ_EST_EPS_REPORT_DIFF" hidden="1">"c1893"</definedName>
    <definedName name="IQ_EST_EPS_REPORT_DIFF_CIQ" hidden="1">"c4763"</definedName>
    <definedName name="IQ_EST_EPS_REPORT_DIFF_REUT" hidden="1">"c5431"</definedName>
    <definedName name="IQ_EST_EPS_REPORT_SURPRISE_PERCENT" hidden="1">"c1894"</definedName>
    <definedName name="IQ_EST_EPS_REPORT_SURPRISE_PERCENT_CIQ" hidden="1">"c4764"</definedName>
    <definedName name="IQ_EST_EPS_REPORT_SURPRISE_PERCENT_REUT" hidden="1">"c5432"</definedName>
    <definedName name="IQ_EST_EPS_SBC_DIFF" hidden="1">"c4374"</definedName>
    <definedName name="IQ_EST_EPS_SBC_GW_DIFF" hidden="1">"c4378"</definedName>
    <definedName name="IQ_EST_EPS_SBC_GW_SURPRISE_PERCENT" hidden="1">"c4387"</definedName>
    <definedName name="IQ_EST_EPS_SBC_SURPRISE_PERCENT" hidden="1">"c4393"</definedName>
    <definedName name="IQ_EST_EPS_SEQ_GROWTH_Q" hidden="1">"c1764"</definedName>
    <definedName name="IQ_EST_EPS_SEQ_GROWTH_Q_REUT" hidden="1">"c3859"</definedName>
    <definedName name="IQ_EST_EPS_SURPRISE" hidden="1">"c1635"</definedName>
    <definedName name="IQ_EST_EPS_SURPRISE_PERCENT" hidden="1">"c1635"</definedName>
    <definedName name="IQ_EST_EPS_SURPRISE_PERCENT_CIQ" hidden="1">"c5000"</definedName>
    <definedName name="IQ_EST_EPS_SURPRISE_PERCENT_REUT" hidden="1">"c5459"</definedName>
    <definedName name="IQ_EST_FAIR_VALUE_MORT_SERVICING_ASSETS_FFIEC" hidden="1">"c12956"</definedName>
    <definedName name="IQ_EST_FFO_ADJ_DIFF" hidden="1">"c4433"</definedName>
    <definedName name="IQ_EST_FFO_ADJ_GROWTH_1YR" hidden="1">"c4421"</definedName>
    <definedName name="IQ_EST_FFO_ADJ_GROWTH_2YR" hidden="1">"c4422"</definedName>
    <definedName name="IQ_EST_FFO_ADJ_GROWTH_Q_1YR" hidden="1">"c4423"</definedName>
    <definedName name="IQ_EST_FFO_ADJ_SEQ_GROWTH_Q" hidden="1">"c4424"</definedName>
    <definedName name="IQ_EST_FFO_ADJ_SURPRISE_PERCENT" hidden="1">"c4442"</definedName>
    <definedName name="IQ_EST_FFO_DIFF" hidden="1">"c1869"</definedName>
    <definedName name="IQ_EST_FFO_DIFF_REUT" hidden="1">"c3890"</definedName>
    <definedName name="IQ_EST_FFO_GROWTH_1YR" hidden="1">"c1770"</definedName>
    <definedName name="IQ_EST_FFO_GROWTH_1YR_REUT" hidden="1">"c3874"</definedName>
    <definedName name="IQ_EST_FFO_GROWTH_2YR" hidden="1">"c1771"</definedName>
    <definedName name="IQ_EST_FFO_GROWTH_2YR_REUT" hidden="1">"c3875"</definedName>
    <definedName name="IQ_EST_FFO_GROWTH_Q_1YR" hidden="1">"c1772"</definedName>
    <definedName name="IQ_EST_FFO_GROWTH_Q_1YR_REUT" hidden="1">"c3876"</definedName>
    <definedName name="IQ_EST_FFO_SEQ_GROWTH_Q" hidden="1">"c1773"</definedName>
    <definedName name="IQ_EST_FFO_SEQ_GROWTH_Q_REUT" hidden="1">"c3877"</definedName>
    <definedName name="IQ_EST_FFO_SHARE_DIFF" hidden="1">"c4444"</definedName>
    <definedName name="IQ_EST_FFO_SHARE_GROWTH_1YR" hidden="1">"c4425"</definedName>
    <definedName name="IQ_EST_FFO_SHARE_GROWTH_2YR" hidden="1">"c4426"</definedName>
    <definedName name="IQ_EST_FFO_SHARE_GROWTH_Q_1YR" hidden="1">"c4427"</definedName>
    <definedName name="IQ_EST_FFO_SHARE_SEQ_GROWTH_Q" hidden="1">"c4428"</definedName>
    <definedName name="IQ_EST_FFO_SHARE_SURPRISE_PERCENT" hidden="1">"c4453"</definedName>
    <definedName name="IQ_EST_FFO_SURPRISE_PERCENT" hidden="1">"c1870"</definedName>
    <definedName name="IQ_EST_FFO_SURPRISE_PERCENT_REUT" hidden="1">"c3891"</definedName>
    <definedName name="IQ_EST_FOOTNOTE" hidden="1">"c4540"</definedName>
    <definedName name="IQ_EST_FOOTNOTE_CIQ" hidden="1">"c12022"</definedName>
    <definedName name="IQ_EST_FOOTNOTE_REUT" hidden="1">"c5478"</definedName>
    <definedName name="IQ_EST_MAINT_CAPEX_DIFF" hidden="1">"c4456"</definedName>
    <definedName name="IQ_EST_MAINT_CAPEX_GROWTH_1YR" hidden="1">"c4429"</definedName>
    <definedName name="IQ_EST_MAINT_CAPEX_GROWTH_2YR" hidden="1">"c4430"</definedName>
    <definedName name="IQ_EST_MAINT_CAPEX_GROWTH_Q_1YR" hidden="1">"c4431"</definedName>
    <definedName name="IQ_EST_MAINT_CAPEX_SEQ_GROWTH_Q" hidden="1">"c4432"</definedName>
    <definedName name="IQ_EST_MAINT_CAPEX_SURPRISE_PERCENT" hidden="1">"c4465"</definedName>
    <definedName name="IQ_EST_NAV_DIFF" hidden="1">"c1895"</definedName>
    <definedName name="IQ_EST_NAV_SURPRISE_PERCENT" hidden="1">"c1896"</definedName>
    <definedName name="IQ_EST_NET_DEBT_DIFF" hidden="1">"c4466"</definedName>
    <definedName name="IQ_EST_NET_DEBT_SURPRISE_PERCENT" hidden="1">"c4468"</definedName>
    <definedName name="IQ_EST_NI_DIFF" hidden="1">"c1885"</definedName>
    <definedName name="IQ_EST_NI_DIFF_REUT" hidden="1">"c5423"</definedName>
    <definedName name="IQ_EST_NI_GW_DIFF" hidden="1">"c1887"</definedName>
    <definedName name="IQ_EST_NI_GW_DIFF_REUT" hidden="1">"c5425"</definedName>
    <definedName name="IQ_EST_NI_GW_SURPRISE_PERCENT" hidden="1">"c1888"</definedName>
    <definedName name="IQ_EST_NI_GW_SURPRISE_PERCENT_REUT" hidden="1">"c5426"</definedName>
    <definedName name="IQ_EST_NI_REPORT_DIFF" hidden="1">"c1889"</definedName>
    <definedName name="IQ_EST_NI_REPORT_DIFF_REUT" hidden="1">"c5427"</definedName>
    <definedName name="IQ_EST_NI_REPORT_SURPRISE_PERCENT" hidden="1">"c1890"</definedName>
    <definedName name="IQ_EST_NI_REPORT_SURPRISE_PERCENT_REUT" hidden="1">"c5428"</definedName>
    <definedName name="IQ_EST_NI_SBC_DIFF" hidden="1">"c4472"</definedName>
    <definedName name="IQ_EST_NI_SBC_GW_DIFF" hidden="1">"c4476"</definedName>
    <definedName name="IQ_EST_NI_SBC_GW_SURPRISE_PERCENT" hidden="1">"c4485"</definedName>
    <definedName name="IQ_EST_NI_SBC_SURPRISE_PERCENT" hidden="1">"c4491"</definedName>
    <definedName name="IQ_EST_NI_SURPRISE_PERCENT" hidden="1">"c1886"</definedName>
    <definedName name="IQ_EST_NI_SURPRISE_PERCENT_REUT" hidden="1">"c5424"</definedName>
    <definedName name="IQ_EST_NUM_BUY" hidden="1">"c1759"</definedName>
    <definedName name="IQ_EST_NUM_BUY_REUT" hidden="1">"c3869"</definedName>
    <definedName name="IQ_EST_NUM_HOLD" hidden="1">"c1761"</definedName>
    <definedName name="IQ_EST_NUM_HOLD_REUT" hidden="1">"c3871"</definedName>
    <definedName name="IQ_EST_NUM_NO_OPINION" hidden="1">"c1758"</definedName>
    <definedName name="IQ_EST_NUM_NO_OPINION_REUT" hidden="1">"c3868"</definedName>
    <definedName name="IQ_EST_NUM_OUTPERFORM" hidden="1">"c1760"</definedName>
    <definedName name="IQ_EST_NUM_OUTPERFORM_REUT" hidden="1">"c3870"</definedName>
    <definedName name="IQ_EST_NUM_SELL" hidden="1">"c1763"</definedName>
    <definedName name="IQ_EST_NUM_SELL_REUT" hidden="1">"c3873"</definedName>
    <definedName name="IQ_EST_NUM_UNDERPERFORM" hidden="1">"c1762"</definedName>
    <definedName name="IQ_EST_NUM_UNDERPERFORM_REUT" hidden="1">"c3872"</definedName>
    <definedName name="IQ_EST_OPER_INC_DIFF" hidden="1">"c1877"</definedName>
    <definedName name="IQ_EST_OPER_INC_DIFF_REUT" hidden="1">"c5415"</definedName>
    <definedName name="IQ_EST_OPER_INC_SURPRISE_PERCENT" hidden="1">"c1878"</definedName>
    <definedName name="IQ_EST_OPER_INC_SURPRISE_PERCENT_REUT" hidden="1">"c5416"</definedName>
    <definedName name="IQ_EST_PRE_TAX_DIFF" hidden="1">"c1879"</definedName>
    <definedName name="IQ_EST_PRE_TAX_DIFF_REUT" hidden="1">"c5417"</definedName>
    <definedName name="IQ_EST_PRE_TAX_GW_DIFF" hidden="1">"c1881"</definedName>
    <definedName name="IQ_EST_PRE_TAX_GW_DIFF_REUT" hidden="1">"c5419"</definedName>
    <definedName name="IQ_EST_PRE_TAX_GW_SURPRISE_PERCENT" hidden="1">"c1882"</definedName>
    <definedName name="IQ_EST_PRE_TAX_GW_SURPRISE_PERCENT_REUT" hidden="1">"c5420"</definedName>
    <definedName name="IQ_EST_PRE_TAX_REPORT_DIFF" hidden="1">"c1883"</definedName>
    <definedName name="IQ_EST_PRE_TAX_REPORT_DIFF_REUT" hidden="1">"c5421"</definedName>
    <definedName name="IQ_EST_PRE_TAX_REPORT_SURPRISE_PERCENT" hidden="1">"c1884"</definedName>
    <definedName name="IQ_EST_PRE_TAX_REPORT_SURPRISE_PERCENT_REUT" hidden="1">"c5422"</definedName>
    <definedName name="IQ_EST_PRE_TAX_SURPRISE_PERCENT" hidden="1">"c1880"</definedName>
    <definedName name="IQ_EST_PRE_TAX_SURPRISE_PERCENT_REUT" hidden="1">"c5418"</definedName>
    <definedName name="IQ_EST_RECURRING_PROFIT_SHARE_DIFF" hidden="1">"c4505"</definedName>
    <definedName name="IQ_EST_RECURRING_PROFIT_SHARE_SURPRISE_PERCENT" hidden="1">"c4515"</definedName>
    <definedName name="IQ_EST_REV_DIFF" hidden="1">"c1865"</definedName>
    <definedName name="IQ_EST_REV_DIFF_CIQ" hidden="1">"c3717"</definedName>
    <definedName name="IQ_EST_REV_DIFF_REUT" hidden="1">"c3886"</definedName>
    <definedName name="IQ_EST_REV_GROWTH_1YR" hidden="1">"c1638"</definedName>
    <definedName name="IQ_EST_REV_GROWTH_1YR_REUT" hidden="1">"c3860"</definedName>
    <definedName name="IQ_EST_REV_GROWTH_2YR" hidden="1">"c1639"</definedName>
    <definedName name="IQ_EST_REV_GROWTH_2YR_REUT" hidden="1">"c3861"</definedName>
    <definedName name="IQ_EST_REV_GROWTH_Q_1YR" hidden="1">"c1640"</definedName>
    <definedName name="IQ_EST_REV_GROWTH_Q_1YR_REUT" hidden="1">"c3862"</definedName>
    <definedName name="IQ_EST_REV_SEQ_GROWTH_Q" hidden="1">"c1765"</definedName>
    <definedName name="IQ_EST_REV_SEQ_GROWTH_Q_REUT" hidden="1">"c3863"</definedName>
    <definedName name="IQ_EST_REV_SURPRISE_PERCENT" hidden="1">"c1866"</definedName>
    <definedName name="IQ_EST_REV_SURPRISE_PERCENT_CIQ" hidden="1">"c3718"</definedName>
    <definedName name="IQ_EST_REV_SURPRISE_PERCENT_REUT" hidden="1">"c3887"</definedName>
    <definedName name="IQ_EST_VENDOR" hidden="1">"c5564"</definedName>
    <definedName name="IQ_ESTIMATED_ASSESSABLE_DEPOSITS_FDIC" hidden="1">"c6490"</definedName>
    <definedName name="IQ_ESTIMATED_INSURED_DEPOSITS_FDIC" hidden="1">"c6491"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_OVER_REVENUE_EST" hidden="1">"IQ_EV_OVER_REVENUE_EST"</definedName>
    <definedName name="IQ_EV_OVER_REVENUE_EST_1" hidden="1">"IQ_EV_OVER_REVENUE_EST_1"</definedName>
    <definedName name="IQ_EVAL_DATE" hidden="1">"c2180"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ENSES_AP" hidden="1">"c8875"</definedName>
    <definedName name="IQ_EXPENSES_AP_ABS" hidden="1">"c8894"</definedName>
    <definedName name="IQ_EXPENSES_FIXED_ASSETS_FFIEC" hidden="1">"c13024"</definedName>
    <definedName name="IQ_EXPENSES_NAME_AP" hidden="1">"c8913"</definedName>
    <definedName name="IQ_EXPENSES_NAME_AP_ABS" hidden="1">"c8932"</definedName>
    <definedName name="IQ_EXPLORATION_EXPENDITURE_ALUM" hidden="1">"c9255"</definedName>
    <definedName name="IQ_EXPLORATION_EXPENDITURE_COAL" hidden="1">"c9827"</definedName>
    <definedName name="IQ_EXPLORATION_EXPENDITURE_COP" hidden="1">"c9202"</definedName>
    <definedName name="IQ_EXPLORATION_EXPENDITURE_DIAM" hidden="1">"c9679"</definedName>
    <definedName name="IQ_EXPLORATION_EXPENDITURE_GOLD" hidden="1">"c9040"</definedName>
    <definedName name="IQ_EXPLORATION_EXPENDITURE_IRON" hidden="1">"c9414"</definedName>
    <definedName name="IQ_EXPLORATION_EXPENDITURE_LEAD" hidden="1">"c9467"</definedName>
    <definedName name="IQ_EXPLORATION_EXPENDITURE_MANG" hidden="1">"c9520"</definedName>
    <definedName name="IQ_EXPLORATION_EXPENDITURE_MOLYB" hidden="1">"c9732"</definedName>
    <definedName name="IQ_EXPLORATION_EXPENDITURE_NICK" hidden="1">"c9308"</definedName>
    <definedName name="IQ_EXPLORATION_EXPENDITURE_PLAT" hidden="1">"c9146"</definedName>
    <definedName name="IQ_EXPLORATION_EXPENDITURE_SILVER" hidden="1">"c9093"</definedName>
    <definedName name="IQ_EXPLORATION_EXPENDITURE_TITAN" hidden="1">"c9573"</definedName>
    <definedName name="IQ_EXPLORATION_EXPENDITURE_URAN" hidden="1">"c9626"</definedName>
    <definedName name="IQ_EXPLORATION_EXPENDITURE_ZINC" hidden="1">"c9361"</definedName>
    <definedName name="IQ_EXPLORE_DRILL" hidden="1">"c409"</definedName>
    <definedName name="IQ_EXPORT_PRICE_INDEX" hidden="1">"c6860"</definedName>
    <definedName name="IQ_EXPORT_PRICE_INDEX_APR" hidden="1">"c7520"</definedName>
    <definedName name="IQ_EXPORT_PRICE_INDEX_APR_FC" hidden="1">"c8400"</definedName>
    <definedName name="IQ_EXPORT_PRICE_INDEX_FC" hidden="1">"c7740"</definedName>
    <definedName name="IQ_EXPORT_PRICE_INDEX_POP" hidden="1">"c7080"</definedName>
    <definedName name="IQ_EXPORT_PRICE_INDEX_POP_FC" hidden="1">"c7960"</definedName>
    <definedName name="IQ_EXPORT_PRICE_INDEX_YOY" hidden="1">"c7300"</definedName>
    <definedName name="IQ_EXPORT_PRICE_INDEX_YOY_FC" hidden="1">"c8180"</definedName>
    <definedName name="IQ_EXPORTS_APR_FC_UNUSED" hidden="1">"c8401"</definedName>
    <definedName name="IQ_EXPORTS_APR_FC_UNUSED_UNUSED_UNUSED" hidden="1">"c8401"</definedName>
    <definedName name="IQ_EXPORTS_APR_UNUSED" hidden="1">"c7521"</definedName>
    <definedName name="IQ_EXPORTS_APR_UNUSED_UNUSED_UNUSED" hidden="1">"c7521"</definedName>
    <definedName name="IQ_EXPORTS_FACTOR_SERVICES" hidden="1">"c6862"</definedName>
    <definedName name="IQ_EXPORTS_FACTOR_SERVICES_APR" hidden="1">"c7522"</definedName>
    <definedName name="IQ_EXPORTS_FACTOR_SERVICES_APR_FC" hidden="1">"c8402"</definedName>
    <definedName name="IQ_EXPORTS_FACTOR_SERVICES_FC" hidden="1">"c7742"</definedName>
    <definedName name="IQ_EXPORTS_FACTOR_SERVICES_POP" hidden="1">"c7082"</definedName>
    <definedName name="IQ_EXPORTS_FACTOR_SERVICES_POP_FC" hidden="1">"c7962"</definedName>
    <definedName name="IQ_EXPORTS_FACTOR_SERVICES_SAAR" hidden="1">"c6863"</definedName>
    <definedName name="IQ_EXPORTS_FACTOR_SERVICES_SAAR_APR" hidden="1">"c7523"</definedName>
    <definedName name="IQ_EXPORTS_FACTOR_SERVICES_SAAR_APR_FC" hidden="1">"c8403"</definedName>
    <definedName name="IQ_EXPORTS_FACTOR_SERVICES_SAAR_FC" hidden="1">"c7743"</definedName>
    <definedName name="IQ_EXPORTS_FACTOR_SERVICES_SAAR_POP" hidden="1">"c7083"</definedName>
    <definedName name="IQ_EXPORTS_FACTOR_SERVICES_SAAR_POP_FC" hidden="1">"c7963"</definedName>
    <definedName name="IQ_EXPORTS_FACTOR_SERVICES_SAAR_USD_APR_FC" hidden="1">"c11817"</definedName>
    <definedName name="IQ_EXPORTS_FACTOR_SERVICES_SAAR_USD_FC" hidden="1">"c11814"</definedName>
    <definedName name="IQ_EXPORTS_FACTOR_SERVICES_SAAR_USD_POP_FC" hidden="1">"c11815"</definedName>
    <definedName name="IQ_EXPORTS_FACTOR_SERVICES_SAAR_USD_YOY_FC" hidden="1">"c11816"</definedName>
    <definedName name="IQ_EXPORTS_FACTOR_SERVICES_SAAR_YOY" hidden="1">"c7303"</definedName>
    <definedName name="IQ_EXPORTS_FACTOR_SERVICES_SAAR_YOY_FC" hidden="1">"c8183"</definedName>
    <definedName name="IQ_EXPORTS_FACTOR_SERVICES_USD_APR_FC" hidden="1">"c11813"</definedName>
    <definedName name="IQ_EXPORTS_FACTOR_SERVICES_USD_FC" hidden="1">"c11810"</definedName>
    <definedName name="IQ_EXPORTS_FACTOR_SERVICES_USD_POP_FC" hidden="1">"c11811"</definedName>
    <definedName name="IQ_EXPORTS_FACTOR_SERVICES_USD_YOY_FC" hidden="1">"c11812"</definedName>
    <definedName name="IQ_EXPORTS_FACTOR_SERVICES_YOY" hidden="1">"c7302"</definedName>
    <definedName name="IQ_EXPORTS_FACTOR_SERVICES_YOY_FC" hidden="1">"c8182"</definedName>
    <definedName name="IQ_EXPORTS_FC_UNUSED" hidden="1">"c7741"</definedName>
    <definedName name="IQ_EXPORTS_FC_UNUSED_UNUSED_UNUSED" hidden="1">"c7741"</definedName>
    <definedName name="IQ_EXPORTS_GOODS" hidden="1">"c6864"</definedName>
    <definedName name="IQ_EXPORTS_GOODS_APR" hidden="1">"c7524"</definedName>
    <definedName name="IQ_EXPORTS_GOODS_APR_FC" hidden="1">"c8404"</definedName>
    <definedName name="IQ_EXPORTS_GOODS_FC" hidden="1">"c7744"</definedName>
    <definedName name="IQ_EXPORTS_GOODS_NONFACTOR_SERVICES" hidden="1">"c6865"</definedName>
    <definedName name="IQ_EXPORTS_GOODS_NONFACTOR_SERVICES_APR" hidden="1">"c7525"</definedName>
    <definedName name="IQ_EXPORTS_GOODS_NONFACTOR_SERVICES_APR_FC" hidden="1">"c8405"</definedName>
    <definedName name="IQ_EXPORTS_GOODS_NONFACTOR_SERVICES_FC" hidden="1">"c7745"</definedName>
    <definedName name="IQ_EXPORTS_GOODS_NONFACTOR_SERVICES_POP" hidden="1">"c7085"</definedName>
    <definedName name="IQ_EXPORTS_GOODS_NONFACTOR_SERVICES_POP_FC" hidden="1">"c7965"</definedName>
    <definedName name="IQ_EXPORTS_GOODS_NONFACTOR_SERVICES_YOY" hidden="1">"c7305"</definedName>
    <definedName name="IQ_EXPORTS_GOODS_NONFACTOR_SERVICES_YOY_FC" hidden="1">"c8185"</definedName>
    <definedName name="IQ_EXPORTS_GOODS_POP" hidden="1">"c7084"</definedName>
    <definedName name="IQ_EXPORTS_GOODS_POP_FC" hidden="1">"c7964"</definedName>
    <definedName name="IQ_EXPORTS_GOODS_REAL" hidden="1">"c6973"</definedName>
    <definedName name="IQ_EXPORTS_GOODS_REAL_APR" hidden="1">"c7633"</definedName>
    <definedName name="IQ_EXPORTS_GOODS_REAL_APR_FC" hidden="1">"c8513"</definedName>
    <definedName name="IQ_EXPORTS_GOODS_REAL_FC" hidden="1">"c7853"</definedName>
    <definedName name="IQ_EXPORTS_GOODS_REAL_POP" hidden="1">"c7193"</definedName>
    <definedName name="IQ_EXPORTS_GOODS_REAL_POP_FC" hidden="1">"c8073"</definedName>
    <definedName name="IQ_EXPORTS_GOODS_REAL_SAAR" hidden="1">"c11930"</definedName>
    <definedName name="IQ_EXPORTS_GOODS_REAL_SAAR_APR" hidden="1">"c11933"</definedName>
    <definedName name="IQ_EXPORTS_GOODS_REAL_SAAR_APR_FC_UNUSED" hidden="1">"c8512"</definedName>
    <definedName name="IQ_EXPORTS_GOODS_REAL_SAAR_APR_FC_UNUSED_UNUSED_UNUSED" hidden="1">"c8512"</definedName>
    <definedName name="IQ_EXPORTS_GOODS_REAL_SAAR_APR_UNUSED" hidden="1">"c7632"</definedName>
    <definedName name="IQ_EXPORTS_GOODS_REAL_SAAR_APR_UNUSED_UNUSED_UNUSED" hidden="1">"c7632"</definedName>
    <definedName name="IQ_EXPORTS_GOODS_REAL_SAAR_FC_UNUSED" hidden="1">"c7852"</definedName>
    <definedName name="IQ_EXPORTS_GOODS_REAL_SAAR_FC_UNUSED_UNUSED_UNUSED" hidden="1">"c7852"</definedName>
    <definedName name="IQ_EXPORTS_GOODS_REAL_SAAR_POP" hidden="1">"c11931"</definedName>
    <definedName name="IQ_EXPORTS_GOODS_REAL_SAAR_POP_FC_UNUSED" hidden="1">"c8072"</definedName>
    <definedName name="IQ_EXPORTS_GOODS_REAL_SAAR_POP_FC_UNUSED_UNUSED_UNUSED" hidden="1">"c8072"</definedName>
    <definedName name="IQ_EXPORTS_GOODS_REAL_SAAR_POP_UNUSED" hidden="1">"c7192"</definedName>
    <definedName name="IQ_EXPORTS_GOODS_REAL_SAAR_POP_UNUSED_UNUSED_UNUSED" hidden="1">"c7192"</definedName>
    <definedName name="IQ_EXPORTS_GOODS_REAL_SAAR_UNUSED" hidden="1">"c6972"</definedName>
    <definedName name="IQ_EXPORTS_GOODS_REAL_SAAR_UNUSED_UNUSED_UNUSED" hidden="1">"c6972"</definedName>
    <definedName name="IQ_EXPORTS_GOODS_REAL_SAAR_YOY" hidden="1">"c11932"</definedName>
    <definedName name="IQ_EXPORTS_GOODS_REAL_SAAR_YOY_FC_UNUSED" hidden="1">"c8292"</definedName>
    <definedName name="IQ_EXPORTS_GOODS_REAL_SAAR_YOY_FC_UNUSED_UNUSED_UNUSED" hidden="1">"c8292"</definedName>
    <definedName name="IQ_EXPORTS_GOODS_REAL_SAAR_YOY_UNUSED" hidden="1">"c7412"</definedName>
    <definedName name="IQ_EXPORTS_GOODS_REAL_SAAR_YOY_UNUSED_UNUSED_UNUSED" hidden="1">"c7412"</definedName>
    <definedName name="IQ_EXPORTS_GOODS_REAL_YOY" hidden="1">"c7413"</definedName>
    <definedName name="IQ_EXPORTS_GOODS_REAL_YOY_FC" hidden="1">"c8293"</definedName>
    <definedName name="IQ_EXPORTS_GOODS_SERVICES" hidden="1">"c6866"</definedName>
    <definedName name="IQ_EXPORTS_GOODS_SERVICES_APR" hidden="1">"c7526"</definedName>
    <definedName name="IQ_EXPORTS_GOODS_SERVICES_APR_FC" hidden="1">"c8406"</definedName>
    <definedName name="IQ_EXPORTS_GOODS_SERVICES_FC" hidden="1">"c7746"</definedName>
    <definedName name="IQ_EXPORTS_GOODS_SERVICES_POP" hidden="1">"c7086"</definedName>
    <definedName name="IQ_EXPORTS_GOODS_SERVICES_POP_FC" hidden="1">"c7966"</definedName>
    <definedName name="IQ_EXPORTS_GOODS_SERVICES_REAL" hidden="1">"c6974"</definedName>
    <definedName name="IQ_EXPORTS_GOODS_SERVICES_REAL_APR" hidden="1">"c7634"</definedName>
    <definedName name="IQ_EXPORTS_GOODS_SERVICES_REAL_APR_FC" hidden="1">"c8514"</definedName>
    <definedName name="IQ_EXPORTS_GOODS_SERVICES_REAL_FC" hidden="1">"c7854"</definedName>
    <definedName name="IQ_EXPORTS_GOODS_SERVICES_REAL_POP" hidden="1">"c7194"</definedName>
    <definedName name="IQ_EXPORTS_GOODS_SERVICES_REAL_POP_FC" hidden="1">"c8074"</definedName>
    <definedName name="IQ_EXPORTS_GOODS_SERVICES_REAL_SAAR" hidden="1">"c6975"</definedName>
    <definedName name="IQ_EXPORTS_GOODS_SERVICES_REAL_SAAR_APR" hidden="1">"c7635"</definedName>
    <definedName name="IQ_EXPORTS_GOODS_SERVICES_REAL_SAAR_APR_FC" hidden="1">"c8515"</definedName>
    <definedName name="IQ_EXPORTS_GOODS_SERVICES_REAL_SAAR_FC" hidden="1">"c7855"</definedName>
    <definedName name="IQ_EXPORTS_GOODS_SERVICES_REAL_SAAR_POP" hidden="1">"c7195"</definedName>
    <definedName name="IQ_EXPORTS_GOODS_SERVICES_REAL_SAAR_POP_FC" hidden="1">"c8075"</definedName>
    <definedName name="IQ_EXPORTS_GOODS_SERVICES_REAL_SAAR_YOY" hidden="1">"c7415"</definedName>
    <definedName name="IQ_EXPORTS_GOODS_SERVICES_REAL_SAAR_YOY_FC" hidden="1">"c8295"</definedName>
    <definedName name="IQ_EXPORTS_GOODS_SERVICES_REAL_USD" hidden="1">"c11926"</definedName>
    <definedName name="IQ_EXPORTS_GOODS_SERVICES_REAL_USD_APR" hidden="1">"c11929"</definedName>
    <definedName name="IQ_EXPORTS_GOODS_SERVICES_REAL_USD_POP" hidden="1">"c11927"</definedName>
    <definedName name="IQ_EXPORTS_GOODS_SERVICES_REAL_USD_YOY" hidden="1">"c11928"</definedName>
    <definedName name="IQ_EXPORTS_GOODS_SERVICES_REAL_YOY" hidden="1">"c7414"</definedName>
    <definedName name="IQ_EXPORTS_GOODS_SERVICES_REAL_YOY_FC" hidden="1">"c8294"</definedName>
    <definedName name="IQ_EXPORTS_GOODS_SERVICES_SAAR" hidden="1">"c6867"</definedName>
    <definedName name="IQ_EXPORTS_GOODS_SERVICES_SAAR_APR" hidden="1">"c7527"</definedName>
    <definedName name="IQ_EXPORTS_GOODS_SERVICES_SAAR_APR_FC" hidden="1">"c8407"</definedName>
    <definedName name="IQ_EXPORTS_GOODS_SERVICES_SAAR_FC" hidden="1">"c7747"</definedName>
    <definedName name="IQ_EXPORTS_GOODS_SERVICES_SAAR_POP" hidden="1">"c7087"</definedName>
    <definedName name="IQ_EXPORTS_GOODS_SERVICES_SAAR_POP_FC" hidden="1">"c7967"</definedName>
    <definedName name="IQ_EXPORTS_GOODS_SERVICES_SAAR_YOY" hidden="1">"c7307"</definedName>
    <definedName name="IQ_EXPORTS_GOODS_SERVICES_SAAR_YOY_FC" hidden="1">"c8187"</definedName>
    <definedName name="IQ_EXPORTS_GOODS_SERVICES_USD" hidden="1">"c11822"</definedName>
    <definedName name="IQ_EXPORTS_GOODS_SERVICES_USD_APR" hidden="1">"c11825"</definedName>
    <definedName name="IQ_EXPORTS_GOODS_SERVICES_USD_POP" hidden="1">"c11823"</definedName>
    <definedName name="IQ_EXPORTS_GOODS_SERVICES_USD_YOY" hidden="1">"c11824"</definedName>
    <definedName name="IQ_EXPORTS_GOODS_SERVICES_YOY" hidden="1">"c7306"</definedName>
    <definedName name="IQ_EXPORTS_GOODS_SERVICES_YOY_FC" hidden="1">"c8186"</definedName>
    <definedName name="IQ_EXPORTS_GOODS_USD" hidden="1">"c11818"</definedName>
    <definedName name="IQ_EXPORTS_GOODS_USD_APR" hidden="1">"c11821"</definedName>
    <definedName name="IQ_EXPORTS_GOODS_USD_POP" hidden="1">"c11819"</definedName>
    <definedName name="IQ_EXPORTS_GOODS_USD_YOY" hidden="1">"c11820"</definedName>
    <definedName name="IQ_EXPORTS_GOODS_YOY" hidden="1">"c7304"</definedName>
    <definedName name="IQ_EXPORTS_GOODS_YOY_FC" hidden="1">"c8184"</definedName>
    <definedName name="IQ_EXPORTS_NONFACTOR_SERVICES" hidden="1">"c6868"</definedName>
    <definedName name="IQ_EXPORTS_NONFACTOR_SERVICES_APR" hidden="1">"c7528"</definedName>
    <definedName name="IQ_EXPORTS_NONFACTOR_SERVICES_APR_FC" hidden="1">"c8408"</definedName>
    <definedName name="IQ_EXPORTS_NONFACTOR_SERVICES_FC" hidden="1">"c7748"</definedName>
    <definedName name="IQ_EXPORTS_NONFACTOR_SERVICES_POP" hidden="1">"c7088"</definedName>
    <definedName name="IQ_EXPORTS_NONFACTOR_SERVICES_POP_FC" hidden="1">"c7968"</definedName>
    <definedName name="IQ_EXPORTS_NONFACTOR_SERVICES_YOY" hidden="1">"c7308"</definedName>
    <definedName name="IQ_EXPORTS_NONFACTOR_SERVICES_YOY_FC" hidden="1">"c8188"</definedName>
    <definedName name="IQ_EXPORTS_POP_FC_UNUSED" hidden="1">"c7961"</definedName>
    <definedName name="IQ_EXPORTS_POP_FC_UNUSED_UNUSED_UNUSED" hidden="1">"c7961"</definedName>
    <definedName name="IQ_EXPORTS_POP_UNUSED" hidden="1">"c7081"</definedName>
    <definedName name="IQ_EXPORTS_POP_UNUSED_UNUSED_UNUSED" hidden="1">"c7081"</definedName>
    <definedName name="IQ_EXPORTS_SERVICES_REAL" hidden="1">"c6977"</definedName>
    <definedName name="IQ_EXPORTS_SERVICES_REAL_APR" hidden="1">"c7637"</definedName>
    <definedName name="IQ_EXPORTS_SERVICES_REAL_APR_FC" hidden="1">"c8517"</definedName>
    <definedName name="IQ_EXPORTS_SERVICES_REAL_FC" hidden="1">"c7857"</definedName>
    <definedName name="IQ_EXPORTS_SERVICES_REAL_POP" hidden="1">"c7197"</definedName>
    <definedName name="IQ_EXPORTS_SERVICES_REAL_POP_FC" hidden="1">"c8077"</definedName>
    <definedName name="IQ_EXPORTS_SERVICES_REAL_SAAR" hidden="1">"c11934"</definedName>
    <definedName name="IQ_EXPORTS_SERVICES_REAL_SAAR_APR" hidden="1">"c11937"</definedName>
    <definedName name="IQ_EXPORTS_SERVICES_REAL_SAAR_APR_FC_UNUSED" hidden="1">"c8516"</definedName>
    <definedName name="IQ_EXPORTS_SERVICES_REAL_SAAR_APR_FC_UNUSED_UNUSED_UNUSED" hidden="1">"c8516"</definedName>
    <definedName name="IQ_EXPORTS_SERVICES_REAL_SAAR_APR_UNUSED" hidden="1">"c7636"</definedName>
    <definedName name="IQ_EXPORTS_SERVICES_REAL_SAAR_APR_UNUSED_UNUSED_UNUSED" hidden="1">"c7636"</definedName>
    <definedName name="IQ_EXPORTS_SERVICES_REAL_SAAR_FC_UNUSED" hidden="1">"c7856"</definedName>
    <definedName name="IQ_EXPORTS_SERVICES_REAL_SAAR_FC_UNUSED_UNUSED_UNUSED" hidden="1">"c7856"</definedName>
    <definedName name="IQ_EXPORTS_SERVICES_REAL_SAAR_POP" hidden="1">"c11935"</definedName>
    <definedName name="IQ_EXPORTS_SERVICES_REAL_SAAR_POP_FC_UNUSED" hidden="1">"c8076"</definedName>
    <definedName name="IQ_EXPORTS_SERVICES_REAL_SAAR_POP_FC_UNUSED_UNUSED_UNUSED" hidden="1">"c8076"</definedName>
    <definedName name="IQ_EXPORTS_SERVICES_REAL_SAAR_POP_UNUSED" hidden="1">"c7196"</definedName>
    <definedName name="IQ_EXPORTS_SERVICES_REAL_SAAR_POP_UNUSED_UNUSED_UNUSED" hidden="1">"c7196"</definedName>
    <definedName name="IQ_EXPORTS_SERVICES_REAL_SAAR_UNUSED" hidden="1">"c6976"</definedName>
    <definedName name="IQ_EXPORTS_SERVICES_REAL_SAAR_UNUSED_UNUSED_UNUSED" hidden="1">"c6976"</definedName>
    <definedName name="IQ_EXPORTS_SERVICES_REAL_SAAR_YOY" hidden="1">"c11936"</definedName>
    <definedName name="IQ_EXPORTS_SERVICES_REAL_SAAR_YOY_FC_UNUSED" hidden="1">"c8296"</definedName>
    <definedName name="IQ_EXPORTS_SERVICES_REAL_SAAR_YOY_FC_UNUSED_UNUSED_UNUSED" hidden="1">"c8296"</definedName>
    <definedName name="IQ_EXPORTS_SERVICES_REAL_SAAR_YOY_UNUSED" hidden="1">"c7416"</definedName>
    <definedName name="IQ_EXPORTS_SERVICES_REAL_SAAR_YOY_UNUSED_UNUSED_UNUSED" hidden="1">"c7416"</definedName>
    <definedName name="IQ_EXPORTS_SERVICES_REAL_YOY" hidden="1">"c7417"</definedName>
    <definedName name="IQ_EXPORTS_SERVICES_REAL_YOY_FC" hidden="1">"c8297"</definedName>
    <definedName name="IQ_EXPORTS_UNUSED" hidden="1">"c6861"</definedName>
    <definedName name="IQ_EXPORTS_UNUSED_UNUSED_UNUSED" hidden="1">"c6861"</definedName>
    <definedName name="IQ_EXPORTS_USD" hidden="1">"c11806"</definedName>
    <definedName name="IQ_EXPORTS_USD_APR" hidden="1">"c11809"</definedName>
    <definedName name="IQ_EXPORTS_USD_POP" hidden="1">"c11807"</definedName>
    <definedName name="IQ_EXPORTS_USD_YOY" hidden="1">"c11808"</definedName>
    <definedName name="IQ_EXPORTS_YOY_FC_UNUSED" hidden="1">"c8181"</definedName>
    <definedName name="IQ_EXPORTS_YOY_FC_UNUSED_UNUSED_UNUSED" hidden="1">"c8181"</definedName>
    <definedName name="IQ_EXPORTS_YOY_UNUSED" hidden="1">"c7301"</definedName>
    <definedName name="IQ_EXPORTS_YOY_UNUSED_UNUSED_UNUSED" hidden="1">"c7301"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" hidden="1">"c6216"</definedName>
    <definedName name="IQ_EXTRA_ACC_ITEMS_REIT" hidden="1">"c415"</definedName>
    <definedName name="IQ_EXTRA_ACC_ITEMS_UTI" hidden="1">"c416"</definedName>
    <definedName name="IQ_EXTRA_AVG_ASSETS_FFIEC" hidden="1">"c13369"</definedName>
    <definedName name="IQ_EXTRA_ITEMS" hidden="1">"c1459"</definedName>
    <definedName name="IQ_EXTRAORDINARY_GAINS_FDIC" hidden="1">"c6586"</definedName>
    <definedName name="IQ_EXTRAORDINARY_ITEMS_FFIEC" hidden="1">"c13033"</definedName>
    <definedName name="IQ_FAD" hidden="1">"c8757"</definedName>
    <definedName name="IQ_FAD_PAYOUT_RATIO" hidden="1">"c8872"</definedName>
    <definedName name="IQ_FAIR_VALUE_FDIC" hidden="1">"c6427"</definedName>
    <definedName name="IQ_FARM_LOANS_NET_FDIC" hidden="1">"c6316"</definedName>
    <definedName name="IQ_FARM_LOANS_TOTAL_LOANS_FOREIGN_FDIC" hidden="1">"c6450"</definedName>
    <definedName name="IQ_FARMLAND_LOANS_FDIC" hidden="1">"c6314"</definedName>
    <definedName name="IQ_FDIC" hidden="1">"c417"</definedName>
    <definedName name="IQ_FDIC_DEPOSIT_INSURANCE_FFIEC" hidden="1">"c13053"</definedName>
    <definedName name="IQ_FED_BUDGET_RECEIPTS" hidden="1">"c6869"</definedName>
    <definedName name="IQ_FED_BUDGET_RECEIPTS_APR" hidden="1">"c7529"</definedName>
    <definedName name="IQ_FED_BUDGET_RECEIPTS_APR_FC" hidden="1">"c8409"</definedName>
    <definedName name="IQ_FED_BUDGET_RECEIPTS_FC" hidden="1">"c7749"</definedName>
    <definedName name="IQ_FED_BUDGET_RECEIPTS_POP" hidden="1">"c7089"</definedName>
    <definedName name="IQ_FED_BUDGET_RECEIPTS_POP_FC" hidden="1">"c7969"</definedName>
    <definedName name="IQ_FED_BUDGET_RECEIPTS_YOY" hidden="1">"c7309"</definedName>
    <definedName name="IQ_FED_BUDGET_RECEIPTS_YOY_FC" hidden="1">"c8189"</definedName>
    <definedName name="IQ_FED_FUNDS_PURCHASED_DOM_FFIEC" hidden="1">"c12856"</definedName>
    <definedName name="IQ_FED_FUNDS_PURCHASED_FDIC" hidden="1">"c6343"</definedName>
    <definedName name="IQ_FED_FUNDS_PURCHASED_QUARTERLY_AVG_FFIEC" hidden="1">"c13090"</definedName>
    <definedName name="IQ_FED_FUNDS_SOLD_DOM_FFIEC" hidden="1">"c12806"</definedName>
    <definedName name="IQ_FED_FUNDS_SOLD_FDIC" hidden="1">"c6307"</definedName>
    <definedName name="IQ_FED_FUNDS_SOLD_QUARTERLY_AVG_FFIEC" hidden="1">"c13080"</definedName>
    <definedName name="IQ_FEDFUNDS_SOLD" hidden="1">"c2256"</definedName>
    <definedName name="IQ_FEES_COMMISSIONS_BROKERAGE_FFIEC" hidden="1">"c13005"</definedName>
    <definedName name="IQ_FFO" hidden="1">"c1574"</definedName>
    <definedName name="IQ_FFO_ACT_OR_EST" hidden="1">"c2216"</definedName>
    <definedName name="IQ_FFO_ADJ_ACT_OR_EST" hidden="1">"c4435"</definedName>
    <definedName name="IQ_FFO_ADJ_ACT_OR_EST_CIQ" hidden="1">"c4960"</definedName>
    <definedName name="IQ_FFO_ADJ_EST" hidden="1">"c4434"</definedName>
    <definedName name="IQ_FFO_ADJ_GUIDANCE" hidden="1">"c4436"</definedName>
    <definedName name="IQ_FFO_ADJ_HIGH_EST" hidden="1">"c4437"</definedName>
    <definedName name="IQ_FFO_ADJ_HIGH_GUIDANCE" hidden="1">"c4202"</definedName>
    <definedName name="IQ_FFO_ADJ_LOW_EST" hidden="1">"c4438"</definedName>
    <definedName name="IQ_FFO_ADJ_LOW_GUIDANCE" hidden="1">"c4242"</definedName>
    <definedName name="IQ_FFO_ADJ_MEDIAN_EST" hidden="1">"c4439"</definedName>
    <definedName name="IQ_FFO_ADJ_NUM_EST" hidden="1">"c4440"</definedName>
    <definedName name="IQ_FFO_ADJ_STDDEV_EST" hidden="1">"c4441"</definedName>
    <definedName name="IQ_FFO_EST" hidden="1">"c418"</definedName>
    <definedName name="IQ_FFO_EST_REUT" hidden="1">"c3837"</definedName>
    <definedName name="IQ_FFO_GUIDANCE" hidden="1">"c4443"</definedName>
    <definedName name="IQ_FFO_HIGH_EST" hidden="1">"c419"</definedName>
    <definedName name="IQ_FFO_HIGH_EST_REUT" hidden="1">"c3839"</definedName>
    <definedName name="IQ_FFO_HIGH_GUIDANCE" hidden="1">"c4184"</definedName>
    <definedName name="IQ_FFO_LOW_EST" hidden="1">"c420"</definedName>
    <definedName name="IQ_FFO_LOW_EST_REUT" hidden="1">"c3840"</definedName>
    <definedName name="IQ_FFO_LOW_GUIDANCE" hidden="1">"c4224"</definedName>
    <definedName name="IQ_FFO_MEDIAN_EST" hidden="1">"c1665"</definedName>
    <definedName name="IQ_FFO_MEDIAN_EST_REUT" hidden="1">"c3838"</definedName>
    <definedName name="IQ_FFO_NUM_EST" hidden="1">"c421"</definedName>
    <definedName name="IQ_FFO_NUM_EST_REUT" hidden="1">"c3841"</definedName>
    <definedName name="IQ_FFO_PAYOUT_RATIO" hidden="1">"c3492"</definedName>
    <definedName name="IQ_FFO_PER_SHARE_BASIC" hidden="1">"c8867"</definedName>
    <definedName name="IQ_FFO_PER_SHARE_DILUTED" hidden="1">"c8868"</definedName>
    <definedName name="IQ_FFO_SHARE_ACT_OR_EST" hidden="1">"c4446"</definedName>
    <definedName name="IQ_FFO_SHARE_ACT_OR_EST_CIQ" hidden="1">"c4971"</definedName>
    <definedName name="IQ_FFO_SHARE_EST" hidden="1">"c4445"</definedName>
    <definedName name="IQ_FFO_SHARE_GUIDANCE" hidden="1">"c4447"</definedName>
    <definedName name="IQ_FFO_SHARE_HIGH_EST" hidden="1">"c4448"</definedName>
    <definedName name="IQ_FFO_SHARE_HIGH_GUIDANCE" hidden="1">"c4203"</definedName>
    <definedName name="IQ_FFO_SHARE_LOW_EST" hidden="1">"c4449"</definedName>
    <definedName name="IQ_FFO_SHARE_LOW_GUIDANCE" hidden="1">"c4243"</definedName>
    <definedName name="IQ_FFO_SHARE_MEDIAN_EST" hidden="1">"c4450"</definedName>
    <definedName name="IQ_FFO_SHARE_NUM_EST" hidden="1">"c4451"</definedName>
    <definedName name="IQ_FFO_SHARE_STDDEV_EST" hidden="1">"c4452"</definedName>
    <definedName name="IQ_FFO_STDDEV_EST" hidden="1">"c422"</definedName>
    <definedName name="IQ_FFO_STDDEV_EST_REUT" hidden="1">"c3842"</definedName>
    <definedName name="IQ_FH" hidden="1">100000</definedName>
    <definedName name="IQ_FHLB_ADVANCES_FDIC" hidden="1">"c6366"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DUCIARY_ACTIVITIES_FDIC" hidden="1">"c6571"</definedName>
    <definedName name="IQ_FIDUCIARY_INCOME_OPERATING_INC_FFIEC" hidden="1">"c13383"</definedName>
    <definedName name="IQ_FIFETEEN_YEAR_FIXED_AND_FLOATING_RATE_FDIC" hidden="1">"c6423"</definedName>
    <definedName name="IQ_FIFETEEN_YEAR_MORTGAGE_PASS_THROUGHS_FDIC" hidden="1">"c6415"</definedName>
    <definedName name="IQ_FILING_CURRENCY" hidden="1">"c2129"</definedName>
    <definedName name="IQ_FILING_CURRENCY_AP" hidden="1">"c11747"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ATA_SOURCE" hidden="1">"c6788"</definedName>
    <definedName name="IQ_FIN_DIV_ASSETS_CURRENT" hidden="1">"c427"</definedName>
    <definedName name="IQ_FIN_DIV_ASSETS_LT" hidden="1">"c428"</definedName>
    <definedName name="IQ_FIN_DIV_CASH_EQUIV" hidden="1">"c6289"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DEBT_TOTAL" hidden="1">"c5656"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LT_DEBT_TOTAL" hidden="1">"c5655"</definedName>
    <definedName name="IQ_FIN_DIV_NOTES_PAY_TOTAL" hidden="1">"c5522"</definedName>
    <definedName name="IQ_FIN_DIV_REV" hidden="1">"c437"</definedName>
    <definedName name="IQ_FIN_DIV_ST_DEBT_TOTAL" hidden="1">"c5527"</definedName>
    <definedName name="IQ_FIN_DIV_ST_INVEST" hidden="1">"c6288"</definedName>
    <definedName name="IQ_FINANCIAL_LOC_FOREIGN_GUARANTEES_FFIEC" hidden="1">"c13249"</definedName>
    <definedName name="IQ_FINANCIAL_SERVICING_ASSETS_FAIR_VALUE_TOT_FFIEC" hidden="1">"c13212"</definedName>
    <definedName name="IQ_FINANCIAL_SERVICING_ASSETS_LEVEL_1_FFIEC" hidden="1">"c13220"</definedName>
    <definedName name="IQ_FINANCIAL_SERVICING_ASSETS_LEVEL_2_FFIEC" hidden="1">"c13228"</definedName>
    <definedName name="IQ_FINANCIAL_SERVICING_ASSETS_LEVEL_3_FFIEC" hidden="1">"c13236"</definedName>
    <definedName name="IQ_FINANCIAL_SERVICING_LIAB_FAIR_VALUE_TOT_FFIEC" hidden="1">"c13215"</definedName>
    <definedName name="IQ_FINANCIAL_SERVICING_LIAB_LEVEL_1_FFIEC" hidden="1">"c13223"</definedName>
    <definedName name="IQ_FINANCIAL_SERVICING_LIAB_LEVEL_2_FFIEC" hidden="1">"c13231"</definedName>
    <definedName name="IQ_FINANCIAL_SERVICING_LIAB_LEVEL_3_FFIEC" hidden="1">"c13239"</definedName>
    <definedName name="IQ_FINANCING_CASH" hidden="1">"c1405"</definedName>
    <definedName name="IQ_FINANCING_CASH_SUPPL" hidden="1">"c1406"</definedName>
    <definedName name="IQ_FINANCING_OBLIG_CURRENT" hidden="1">"c6190"</definedName>
    <definedName name="IQ_FINANCING_OBLIG_NON_CURRENT" hidden="1">"c6191"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Q_EST" hidden="1">"c6794"</definedName>
    <definedName name="IQ_FISCAL_Q_EST_CIQ" hidden="1">"c6806"</definedName>
    <definedName name="IQ_FISCAL_Q_EST_REUT" hidden="1">"c6798"</definedName>
    <definedName name="IQ_FISCAL_Y" hidden="1">"c441"</definedName>
    <definedName name="IQ_FISCAL_Y_EST" hidden="1">"c6795"</definedName>
    <definedName name="IQ_FISCAL_Y_EST_CIQ" hidden="1">"c6807"</definedName>
    <definedName name="IQ_FISCAL_Y_EST_REUT" hidden="1">"c6799"</definedName>
    <definedName name="IQ_FIVE_PERCENT_OWNER" hidden="1">"c442"</definedName>
    <definedName name="IQ_FIVE_YEAR_FIXED_AND_FLOATING_RATE_FDIC" hidden="1">"c6422"</definedName>
    <definedName name="IQ_FIVE_YEAR_MORTGAGE_PASS_THROUGHS_FDIC" hidden="1">"c6414"</definedName>
    <definedName name="IQ_FIVEPERCENT_PERCENT" hidden="1">"c443"</definedName>
    <definedName name="IQ_FIVEPERCENT_SHARES" hidden="1">"c444"</definedName>
    <definedName name="IQ_FIX_FREQUENCY" hidden="1">"c8964"</definedName>
    <definedName name="IQ_FIXED_ASSET_TURNS" hidden="1">"c445"</definedName>
    <definedName name="IQ_FIXED_INCOME_LIST" hidden="1">"c13504"</definedName>
    <definedName name="IQ_FIXED_INVEST_APR_FC_UNUSED" hidden="1">"c8410"</definedName>
    <definedName name="IQ_FIXED_INVEST_APR_FC_UNUSED_UNUSED_UNUSED" hidden="1">"c8410"</definedName>
    <definedName name="IQ_FIXED_INVEST_APR_UNUSED" hidden="1">"c7530"</definedName>
    <definedName name="IQ_FIXED_INVEST_APR_UNUSED_UNUSED_UNUSED" hidden="1">"c7530"</definedName>
    <definedName name="IQ_FIXED_INVEST_FC_UNUSED" hidden="1">"c7750"</definedName>
    <definedName name="IQ_FIXED_INVEST_FC_UNUSED_UNUSED_UNUSED" hidden="1">"c7750"</definedName>
    <definedName name="IQ_FIXED_INVEST_MACH_EQUIP" hidden="1">"c6871"</definedName>
    <definedName name="IQ_FIXED_INVEST_MACH_EQUIP_APR" hidden="1">"c7531"</definedName>
    <definedName name="IQ_FIXED_INVEST_MACH_EQUIP_APR_FC" hidden="1">"c8411"</definedName>
    <definedName name="IQ_FIXED_INVEST_MACH_EQUIP_FC" hidden="1">"c7751"</definedName>
    <definedName name="IQ_FIXED_INVEST_MACH_EQUIP_POP" hidden="1">"c7091"</definedName>
    <definedName name="IQ_FIXED_INVEST_MACH_EQUIP_POP_FC" hidden="1">"c7971"</definedName>
    <definedName name="IQ_FIXED_INVEST_MACH_EQUIP_REAL" hidden="1">"c6979"</definedName>
    <definedName name="IQ_FIXED_INVEST_MACH_EQUIP_REAL_APR" hidden="1">"c7639"</definedName>
    <definedName name="IQ_FIXED_INVEST_MACH_EQUIP_REAL_APR_FC" hidden="1">"c8519"</definedName>
    <definedName name="IQ_FIXED_INVEST_MACH_EQUIP_REAL_FC" hidden="1">"c7859"</definedName>
    <definedName name="IQ_FIXED_INVEST_MACH_EQUIP_REAL_POP" hidden="1">"c7199"</definedName>
    <definedName name="IQ_FIXED_INVEST_MACH_EQUIP_REAL_POP_FC" hidden="1">"c8079"</definedName>
    <definedName name="IQ_FIXED_INVEST_MACH_EQUIP_REAL_YOY" hidden="1">"c7419"</definedName>
    <definedName name="IQ_FIXED_INVEST_MACH_EQUIP_REAL_YOY_FC" hidden="1">"c8299"</definedName>
    <definedName name="IQ_FIXED_INVEST_MACH_EQUIP_YOY" hidden="1">"c7311"</definedName>
    <definedName name="IQ_FIXED_INVEST_MACH_EQUIP_YOY_FC" hidden="1">"c8191"</definedName>
    <definedName name="IQ_FIXED_INVEST_POP_FC_UNUSED" hidden="1">"c7970"</definedName>
    <definedName name="IQ_FIXED_INVEST_POP_FC_UNUSED_UNUSED_UNUSED" hidden="1">"c7970"</definedName>
    <definedName name="IQ_FIXED_INVEST_POP_UNUSED" hidden="1">"c7090"</definedName>
    <definedName name="IQ_FIXED_INVEST_POP_UNUSED_UNUSED_UNUSED" hidden="1">"c7090"</definedName>
    <definedName name="IQ_FIXED_INVEST_REAL_APR_FC_UNUSED" hidden="1">"c8518"</definedName>
    <definedName name="IQ_FIXED_INVEST_REAL_APR_FC_UNUSED_UNUSED_UNUSED" hidden="1">"c8518"</definedName>
    <definedName name="IQ_FIXED_INVEST_REAL_APR_UNUSED" hidden="1">"c7638"</definedName>
    <definedName name="IQ_FIXED_INVEST_REAL_APR_UNUSED_UNUSED_UNUSED" hidden="1">"c7638"</definedName>
    <definedName name="IQ_FIXED_INVEST_REAL_FC_UNUSED" hidden="1">"c7858"</definedName>
    <definedName name="IQ_FIXED_INVEST_REAL_FC_UNUSED_UNUSED_UNUSED" hidden="1">"c7858"</definedName>
    <definedName name="IQ_FIXED_INVEST_REAL_POP_FC_UNUSED" hidden="1">"c8078"</definedName>
    <definedName name="IQ_FIXED_INVEST_REAL_POP_FC_UNUSED_UNUSED_UNUSED" hidden="1">"c8078"</definedName>
    <definedName name="IQ_FIXED_INVEST_REAL_POP_UNUSED" hidden="1">"c7198"</definedName>
    <definedName name="IQ_FIXED_INVEST_REAL_POP_UNUSED_UNUSED_UNUSED" hidden="1">"c7198"</definedName>
    <definedName name="IQ_FIXED_INVEST_REAL_SAAR" hidden="1">"c6980"</definedName>
    <definedName name="IQ_FIXED_INVEST_REAL_SAAR_APR" hidden="1">"c7640"</definedName>
    <definedName name="IQ_FIXED_INVEST_REAL_SAAR_APR_FC" hidden="1">"c8520"</definedName>
    <definedName name="IQ_FIXED_INVEST_REAL_SAAR_FC" hidden="1">"c7860"</definedName>
    <definedName name="IQ_FIXED_INVEST_REAL_SAAR_POP" hidden="1">"c7200"</definedName>
    <definedName name="IQ_FIXED_INVEST_REAL_SAAR_POP_FC" hidden="1">"c8080"</definedName>
    <definedName name="IQ_FIXED_INVEST_REAL_SAAR_USD_APR_FC" hidden="1">"c11945"</definedName>
    <definedName name="IQ_FIXED_INVEST_REAL_SAAR_USD_FC" hidden="1">"c11942"</definedName>
    <definedName name="IQ_FIXED_INVEST_REAL_SAAR_USD_POP_FC" hidden="1">"c11943"</definedName>
    <definedName name="IQ_FIXED_INVEST_REAL_SAAR_USD_YOY_FC" hidden="1">"c11944"</definedName>
    <definedName name="IQ_FIXED_INVEST_REAL_SAAR_YOY" hidden="1">"c7420"</definedName>
    <definedName name="IQ_FIXED_INVEST_REAL_SAAR_YOY_FC" hidden="1">"c8300"</definedName>
    <definedName name="IQ_FIXED_INVEST_REAL_UNUSED" hidden="1">"c6978"</definedName>
    <definedName name="IQ_FIXED_INVEST_REAL_UNUSED_UNUSED_UNUSED" hidden="1">"c6978"</definedName>
    <definedName name="IQ_FIXED_INVEST_REAL_USD_APR_FC" hidden="1">"c11941"</definedName>
    <definedName name="IQ_FIXED_INVEST_REAL_USD_FC" hidden="1">"c11938"</definedName>
    <definedName name="IQ_FIXED_INVEST_REAL_USD_POP_FC" hidden="1">"c11939"</definedName>
    <definedName name="IQ_FIXED_INVEST_REAL_USD_YOY_FC" hidden="1">"c11940"</definedName>
    <definedName name="IQ_FIXED_INVEST_REAL_YOY_FC_UNUSED" hidden="1">"c8298"</definedName>
    <definedName name="IQ_FIXED_INVEST_REAL_YOY_FC_UNUSED_UNUSED_UNUSED" hidden="1">"c8298"</definedName>
    <definedName name="IQ_FIXED_INVEST_REAL_YOY_UNUSED" hidden="1">"c7418"</definedName>
    <definedName name="IQ_FIXED_INVEST_REAL_YOY_UNUSED_UNUSED_UNUSED" hidden="1">"c7418"</definedName>
    <definedName name="IQ_FIXED_INVEST_SAAR" hidden="1">"c6872"</definedName>
    <definedName name="IQ_FIXED_INVEST_SAAR_APR" hidden="1">"c7532"</definedName>
    <definedName name="IQ_FIXED_INVEST_SAAR_APR_FC" hidden="1">"c8412"</definedName>
    <definedName name="IQ_FIXED_INVEST_SAAR_FC" hidden="1">"c7752"</definedName>
    <definedName name="IQ_FIXED_INVEST_SAAR_POP" hidden="1">"c7092"</definedName>
    <definedName name="IQ_FIXED_INVEST_SAAR_POP_FC" hidden="1">"c7972"</definedName>
    <definedName name="IQ_FIXED_INVEST_SAAR_USD_APR_FC" hidden="1">"c11833"</definedName>
    <definedName name="IQ_FIXED_INVEST_SAAR_USD_FC" hidden="1">"c11830"</definedName>
    <definedName name="IQ_FIXED_INVEST_SAAR_USD_POP_FC" hidden="1">"c11831"</definedName>
    <definedName name="IQ_FIXED_INVEST_SAAR_USD_YOY_FC" hidden="1">"c11832"</definedName>
    <definedName name="IQ_FIXED_INVEST_SAAR_YOY" hidden="1">"c7312"</definedName>
    <definedName name="IQ_FIXED_INVEST_SAAR_YOY_FC" hidden="1">"c8192"</definedName>
    <definedName name="IQ_FIXED_INVEST_UNUSED" hidden="1">"c6870"</definedName>
    <definedName name="IQ_FIXED_INVEST_UNUSED_UNUSED_UNUSED" hidden="1">"c6870"</definedName>
    <definedName name="IQ_FIXED_INVEST_USD_APR_FC" hidden="1">"c11829"</definedName>
    <definedName name="IQ_FIXED_INVEST_USD_FC" hidden="1">"c11826"</definedName>
    <definedName name="IQ_FIXED_INVEST_USD_POP_FC" hidden="1">"c11827"</definedName>
    <definedName name="IQ_FIXED_INVEST_USD_YOY_FC" hidden="1">"c11828"</definedName>
    <definedName name="IQ_FIXED_INVEST_YOY_FC_UNUSED" hidden="1">"c8190"</definedName>
    <definedName name="IQ_FIXED_INVEST_YOY_FC_UNUSED_UNUSED_UNUSED" hidden="1">"c8190"</definedName>
    <definedName name="IQ_FIXED_INVEST_YOY_UNUSED" hidden="1">"c7310"</definedName>
    <definedName name="IQ_FIXED_INVEST_YOY_UNUSED_UNUSED_UNUSED" hidden="1">"c7310"</definedName>
    <definedName name="IQ_FLOAT_PERCENT" hidden="1">"c1575"</definedName>
    <definedName name="IQ_FNMA_FHLMC_FDIC" hidden="1">"c6397"</definedName>
    <definedName name="IQ_FNMA_FHLMC_GNMA_FDIC" hidden="1">"c6399"</definedName>
    <definedName name="IQ_FORECLOSED_PROPERTIES_FDIC" hidden="1">"c6459"</definedName>
    <definedName name="IQ_FOREIGN_BANK_LOANS_FDIC" hidden="1">"c6437"</definedName>
    <definedName name="IQ_FOREIGN_BANKS_DEPOSITS_FOREIGN_FDIC" hidden="1">"c6481"</definedName>
    <definedName name="IQ_FOREIGN_BANKS_DUE_30_89_FFIEC" hidden="1">"c13269"</definedName>
    <definedName name="IQ_FOREIGN_BANKS_DUE_90_FFIEC" hidden="1">"c13295"</definedName>
    <definedName name="IQ_FOREIGN_BANKS_LOAN_CHARG_OFFS_FDIC" hidden="1">"c6645"</definedName>
    <definedName name="IQ_FOREIGN_BANKS_NET_CHARGE_OFFS_FDIC" hidden="1">"c6647"</definedName>
    <definedName name="IQ_FOREIGN_BANKS_NON_ACCRUAL_FFIEC" hidden="1">"c13321"</definedName>
    <definedName name="IQ_FOREIGN_BANKS_NONTRANSACTION_ACCOUNTS_FDIC" hidden="1">"c6550"</definedName>
    <definedName name="IQ_FOREIGN_BANKS_RECOVERIES_FDIC" hidden="1">"c6646"</definedName>
    <definedName name="IQ_FOREIGN_BANKS_TRANSACTION_ACCOUNTS_FDIC" hidden="1">"c6542"</definedName>
    <definedName name="IQ_FOREIGN_BRANCHES_U.S._BANKS_LOANS_FDIC" hidden="1">"c6438"</definedName>
    <definedName name="IQ_FOREIGN_BRANCHES_US_BANKS_FDIC" hidden="1">"c6392"</definedName>
    <definedName name="IQ_FOREIGN_BRANCHES_US_BANKS_LOANS_FDIC" hidden="1">"c6438"</definedName>
    <definedName name="IQ_FOREIGN_COUNTRIES_BANKS_TOTAL_LOANS_FOREIGN_FDIC" hidden="1">"c6445"</definedName>
    <definedName name="IQ_FOREIGN_DEBT_SECURITIES_FDIC" hidden="1">"c6303"</definedName>
    <definedName name="IQ_FOREIGN_DEP_IB" hidden="1">"c446"</definedName>
    <definedName name="IQ_FOREIGN_DEP_NON_IB" hidden="1">"c447"</definedName>
    <definedName name="IQ_FOREIGN_DEPOSITS_ASSETS_TOT_FFIEC" hidden="1">"c13445"</definedName>
    <definedName name="IQ_FOREIGN_DEPOSITS_NONTRANSACTION_ACCOUNTS_FDIC" hidden="1">"c6549"</definedName>
    <definedName name="IQ_FOREIGN_DEPOSITS_TOT_FFIEC" hidden="1">"c13486"</definedName>
    <definedName name="IQ_FOREIGN_DEPOSITS_TRANSACTION_ACCOUNTS_FDIC" hidden="1">"c6541"</definedName>
    <definedName name="IQ_FOREIGN_EXCHANGE" hidden="1">"c1376"</definedName>
    <definedName name="IQ_FOREIGN_EXCHANGE_EXPOSURES_FDIC" hidden="1">"c6663"</definedName>
    <definedName name="IQ_FOREIGN_GOVERNMENT_LOANS_FDIC" hidden="1">"c6430"</definedName>
    <definedName name="IQ_FOREIGN_GOVERNMENTS_CHARGE_OFFS_FDIC" hidden="1">"c6600"</definedName>
    <definedName name="IQ_FOREIGN_GOVERNMENTS_DEPOSITS_FOREIGN_FDIC" hidden="1">"c6482"</definedName>
    <definedName name="IQ_FOREIGN_GOVERNMENTS_NET_CHARGE_OFFS_FDIC" hidden="1">"c6638"</definedName>
    <definedName name="IQ_FOREIGN_GOVERNMENTS_NONTRANSACTION_ACCOUNTS_FDIC" hidden="1">"c6551"</definedName>
    <definedName name="IQ_FOREIGN_GOVERNMENTS_RECOVERIES_FDIC" hidden="1">"c6619"</definedName>
    <definedName name="IQ_FOREIGN_GOVERNMENTS_TOTAL_DEPOSITS_FDIC" hidden="1">"c6476"</definedName>
    <definedName name="IQ_FOREIGN_GOVERNMENTS_TRANSACTION_ACCOUNTS_FDIC" hidden="1">"c6543"</definedName>
    <definedName name="IQ_FOREIGN_LL_REC_FFIEC" hidden="1">"c12892"</definedName>
    <definedName name="IQ_FOREIGN_LOANS" hidden="1">"c448"</definedName>
    <definedName name="IQ_FOREIGN_LOANS_LEASES_FOREIGN_FFIEC" hidden="1">"c13478"</definedName>
    <definedName name="IQ_FQ" hidden="1">500</definedName>
    <definedName name="IQ_FUEL" hidden="1">"c449"</definedName>
    <definedName name="IQ_FULL_TIME" hidden="1">"c450"</definedName>
    <definedName name="IQ_FULLY_INSURED_DEPOSITS_FDIC" hidden="1">"c6487"</definedName>
    <definedName name="IQ_FUND_FEE_INC_NON_INT_INC_FFIEC" hidden="1">"c13493"</definedName>
    <definedName name="IQ_FUNDING_DEPENDENCE_FFIEC" hidden="1">"c13336"</definedName>
    <definedName name="IQ_FUNDING_DEPENDENCE_ST_FFIEC" hidden="1">"c13337"</definedName>
    <definedName name="IQ_FUNDS_PURCHASED_ASSETS_TOT_FFIEC" hidden="1">"c13446"</definedName>
    <definedName name="IQ_FUTURES_FORWARD_CONTRACTS_NOTIONAL_AMOUNT_FDIC" hidden="1">"c6518"</definedName>
    <definedName name="IQ_FUTURES_FORWARD_CONTRACTS_RATE_RISK_FDIC" hidden="1">"c6508"</definedName>
    <definedName name="IQ_FWD" hidden="1">"LTM"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WD_Q3" hidden="1">"504"</definedName>
    <definedName name="IQ_FWD_Q4" hidden="1">"505"</definedName>
    <definedName name="IQ_FWD_Q5" hidden="1">"506"</definedName>
    <definedName name="IQ_FWD_Q6" hidden="1">"507"</definedName>
    <definedName name="IQ_FWD_Q7" hidden="1">"508"</definedName>
    <definedName name="IQ_FWD1" hidden="1">"LTM"</definedName>
    <definedName name="IQ_FX" hidden="1">"c451"</definedName>
    <definedName name="IQ_FX_CONTRACTS_FDIC" hidden="1">"c6517"</definedName>
    <definedName name="IQ_FX_CONTRACTS_FFIEC" hidden="1">"c13125"</definedName>
    <definedName name="IQ_FX_CONTRACTS_SPOT_FDIC" hidden="1">"c6356"</definedName>
    <definedName name="IQ_FX_EXPOSURE_FFIEC" hidden="1">"c13059"</definedName>
    <definedName name="IQ_FY" hidden="1">1000</definedName>
    <definedName name="IQ_FY_DATE" hidden="1">"IQ_FY_DATE"</definedName>
    <definedName name="IQ_GA_EXP" hidden="1">"c2241"</definedName>
    <definedName name="IQ_GAAP_BS" hidden="1">"c6789"</definedName>
    <definedName name="IQ_GAAP_CF" hidden="1">"c6790"</definedName>
    <definedName name="IQ_GAAP_IS" hidden="1">"c6194"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" hidden="1">"c6217"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" hidden="1">"c6218"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" hidden="1">"c6219"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CREDIT_DERIVATIVES_FFIEC" hidden="1">"c13066"</definedName>
    <definedName name="IQ_GAIN_CREDIT_DERIVATIVES_NON_TRADING_FFIEC" hidden="1">"c13067"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" hidden="1">"c6220"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" hidden="1">"c6278"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" hidden="1">"c6221"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AIN_SALE_LOANS_FDIC" hidden="1">"c6673"</definedName>
    <definedName name="IQ_GAIN_SALE_RE_FDIC" hidden="1">"c6674"</definedName>
    <definedName name="IQ_GAINS_AFS_AVG_ASSETS_FFIEC" hidden="1">"c13364"</definedName>
    <definedName name="IQ_GAINS_ASSETS_TOT_FFIEC" hidden="1">"c13073"</definedName>
    <definedName name="IQ_GAINS_AVAIL_SALE_EQUITY_SEC_T2_FFIEC" hidden="1">"c13147"</definedName>
    <definedName name="IQ_GAINS_AVAIL_SALE_SEC_T1_FFIEC" hidden="1">"c13131"</definedName>
    <definedName name="IQ_GAINS_CASH_FLOW_HEDGES_T1_FFIEC" hidden="1">"c13133"</definedName>
    <definedName name="IQ_GAINS_HTM_AVG_ASSETS_FFIEC" hidden="1">"c13363"</definedName>
    <definedName name="IQ_GAINS_INSTRUMENT_SPECIFIC_CREDIT_RISK_LIAB_FFIEC" hidden="1">"c13076"</definedName>
    <definedName name="IQ_GAINS_INSTRUMENT_SPECIFIC_RISK_FFIEC" hidden="1">"c13074"</definedName>
    <definedName name="IQ_GAINS_INSURANCE_ACTIVITIES_FFIEC" hidden="1">"c13072"</definedName>
    <definedName name="IQ_GAINS_LIABILITIES_FFIEC" hidden="1">"c13075"</definedName>
    <definedName name="IQ_GAINS_SALE_ASSETS_FDIC" hidden="1">"c6675"</definedName>
    <definedName name="IQ_GAINS_SALE_LOANS_LEASES_FFIEC" hidden="1">"c13013"</definedName>
    <definedName name="IQ_GAINS_SALE_OTHER_ASSETS_FFIEC" hidden="1">"c13015"</definedName>
    <definedName name="IQ_GAINS_SALE_OTHER_RE_OWNED_FFIEC" hidden="1">"c13014"</definedName>
    <definedName name="IQ_GAINS_SECURITIZATION_OPERATING_INC_FFIEC" hidden="1">"c13391"</definedName>
    <definedName name="IQ_GDP" hidden="1">"c6874"</definedName>
    <definedName name="IQ_GDP_APR" hidden="1">"c7534"</definedName>
    <definedName name="IQ_GDP_APR_FC" hidden="1">"c8414"</definedName>
    <definedName name="IQ_GDP_FC" hidden="1">"c7754"</definedName>
    <definedName name="IQ_GDP_POP" hidden="1">"c7094"</definedName>
    <definedName name="IQ_GDP_POP_FC" hidden="1">"c7974"</definedName>
    <definedName name="IQ_GDP_REAL" hidden="1">"c6981"</definedName>
    <definedName name="IQ_GDP_REAL_APR" hidden="1">"c7641"</definedName>
    <definedName name="IQ_GDP_REAL_APR_FC" hidden="1">"c8521"</definedName>
    <definedName name="IQ_GDP_REAL_FC" hidden="1">"c7861"</definedName>
    <definedName name="IQ_GDP_REAL_POP" hidden="1">"c7201"</definedName>
    <definedName name="IQ_GDP_REAL_POP_FC" hidden="1">"c8081"</definedName>
    <definedName name="IQ_GDP_REAL_SAAR" hidden="1">"c6982"</definedName>
    <definedName name="IQ_GDP_REAL_SAAR_APR" hidden="1">"c7642"</definedName>
    <definedName name="IQ_GDP_REAL_SAAR_APR_FC" hidden="1">"c8522"</definedName>
    <definedName name="IQ_GDP_REAL_SAAR_FC" hidden="1">"c7862"</definedName>
    <definedName name="IQ_GDP_REAL_SAAR_POP" hidden="1">"c7202"</definedName>
    <definedName name="IQ_GDP_REAL_SAAR_POP_FC" hidden="1">"c8082"</definedName>
    <definedName name="IQ_GDP_REAL_SAAR_YOY" hidden="1">"c7422"</definedName>
    <definedName name="IQ_GDP_REAL_SAAR_YOY_FC" hidden="1">"c8302"</definedName>
    <definedName name="IQ_GDP_REAL_USD" hidden="1">"c11946"</definedName>
    <definedName name="IQ_GDP_REAL_USD_APR" hidden="1">"c11949"</definedName>
    <definedName name="IQ_GDP_REAL_USD_POP" hidden="1">"c11947"</definedName>
    <definedName name="IQ_GDP_REAL_USD_YOY" hidden="1">"c11948"</definedName>
    <definedName name="IQ_GDP_REAL_YOY" hidden="1">"c7421"</definedName>
    <definedName name="IQ_GDP_REAL_YOY_FC" hidden="1">"c8301"</definedName>
    <definedName name="IQ_GDP_SAAR" hidden="1">"c6875"</definedName>
    <definedName name="IQ_GDP_SAAR_APR" hidden="1">"c7535"</definedName>
    <definedName name="IQ_GDP_SAAR_APR_FC" hidden="1">"c8415"</definedName>
    <definedName name="IQ_GDP_SAAR_FC" hidden="1">"c7755"</definedName>
    <definedName name="IQ_GDP_SAAR_POP" hidden="1">"c7095"</definedName>
    <definedName name="IQ_GDP_SAAR_POP_FC" hidden="1">"c7975"</definedName>
    <definedName name="IQ_GDP_SAAR_YOY" hidden="1">"c7315"</definedName>
    <definedName name="IQ_GDP_SAAR_YOY_FC" hidden="1">"c8195"</definedName>
    <definedName name="IQ_GDP_USD" hidden="1">"c11834"</definedName>
    <definedName name="IQ_GDP_USD_APR" hidden="1">"c11837"</definedName>
    <definedName name="IQ_GDP_USD_POP" hidden="1">"c11835"</definedName>
    <definedName name="IQ_GDP_USD_YOY" hidden="1">"c11836"</definedName>
    <definedName name="IQ_GDP_YOY" hidden="1">"c7314"</definedName>
    <definedName name="IQ_GDP_YOY_FC" hidden="1">"c8194"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LA_PCT_LEASED_CONSOL" hidden="1">"c8810"</definedName>
    <definedName name="IQ_GLA_PCT_LEASED_MANAGED" hidden="1">"c8812"</definedName>
    <definedName name="IQ_GLA_PCT_LEASED_OTHER" hidden="1">"c8813"</definedName>
    <definedName name="IQ_GLA_PCT_LEASED_TOTAL" hidden="1">"c8814"</definedName>
    <definedName name="IQ_GLA_PCT_LEASED_UNCONSOL" hidden="1">"c8811"</definedName>
    <definedName name="IQ_GLA_SQ_FT_CONSOL" hidden="1">"c8790"</definedName>
    <definedName name="IQ_GLA_SQ_FT_MANAGED" hidden="1">"c8792"</definedName>
    <definedName name="IQ_GLA_SQ_FT_OTHER" hidden="1">"c8793"</definedName>
    <definedName name="IQ_GLA_SQ_FT_TOTAL" hidden="1">"c8794"</definedName>
    <definedName name="IQ_GLA_SQ_FT_UNCONSOL" hidden="1">"c8791"</definedName>
    <definedName name="IQ_GLA_SQ_METER_CONSOL" hidden="1">"c8795"</definedName>
    <definedName name="IQ_GLA_SQ_METER_MANAGED" hidden="1">"c8797"</definedName>
    <definedName name="IQ_GLA_SQ_METER_OTHER" hidden="1">"c8798"</definedName>
    <definedName name="IQ_GLA_SQ_METER_TOTAL" hidden="1">"c8799"</definedName>
    <definedName name="IQ_GLA_SQ_METER_UNCONSOL" hidden="1">"c8796"</definedName>
    <definedName name="IQ_GNMA_FDIC" hidden="1">"c6398"</definedName>
    <definedName name="IQ_GOODWILL_FDIC" hidden="1">"c6334"</definedName>
    <definedName name="IQ_GOODWILL_FFIEC" hidden="1">"c12836"</definedName>
    <definedName name="IQ_GOODWILL_IMPAIRMENT_FDIC" hidden="1">"c6678"</definedName>
    <definedName name="IQ_GOODWILL_IMPAIRMENT_FFIEC" hidden="1">"c13025"</definedName>
    <definedName name="IQ_GOODWILL_INTAN_FDIC" hidden="1">"c6333"</definedName>
    <definedName name="IQ_GOODWILL_NET" hidden="1">"c1380"</definedName>
    <definedName name="IQ_GOVT_PERSONAL_TAXES_RECEIPTS" hidden="1">"c6876"</definedName>
    <definedName name="IQ_GOVT_PERSONAL_TAXES_RECEIPTS_APR" hidden="1">"c7536"</definedName>
    <definedName name="IQ_GOVT_PERSONAL_TAXES_RECEIPTS_APR_FC" hidden="1">"c8416"</definedName>
    <definedName name="IQ_GOVT_PERSONAL_TAXES_RECEIPTS_FC" hidden="1">"c7756"</definedName>
    <definedName name="IQ_GOVT_PERSONAL_TAXES_RECEIPTS_POP" hidden="1">"c7096"</definedName>
    <definedName name="IQ_GOVT_PERSONAL_TAXES_RECEIPTS_POP_FC" hidden="1">"c7976"</definedName>
    <definedName name="IQ_GOVT_PERSONAL_TAXES_RECEIPTS_YOY" hidden="1">"c7316"</definedName>
    <definedName name="IQ_GOVT_PERSONAL_TAXES_RECEIPTS_YOY_FC" hidden="1">"c8196"</definedName>
    <definedName name="IQ_GOVT_RECEIPTS" hidden="1">"c6877"</definedName>
    <definedName name="IQ_GOVT_RECEIPTS_APR" hidden="1">"c7537"</definedName>
    <definedName name="IQ_GOVT_RECEIPTS_APR_FC" hidden="1">"c8417"</definedName>
    <definedName name="IQ_GOVT_RECEIPTS_FC" hidden="1">"c7757"</definedName>
    <definedName name="IQ_GOVT_RECEIPTS_POP" hidden="1">"c7097"</definedName>
    <definedName name="IQ_GOVT_RECEIPTS_POP_FC" hidden="1">"c7977"</definedName>
    <definedName name="IQ_GOVT_RECEIPTS_YOY" hidden="1">"c7317"</definedName>
    <definedName name="IQ_GOVT_RECEIPTS_YOY_FC" hidden="1">"c8197"</definedName>
    <definedName name="IQ_GP" hidden="1">"c511"</definedName>
    <definedName name="IQ_GP_10YR_ANN_CAGR" hidden="1">"c6090"</definedName>
    <definedName name="IQ_GP_10YR_ANN_GROWTH" hidden="1">"c512"</definedName>
    <definedName name="IQ_GP_1YR_ANN_GROWTH" hidden="1">"c513"</definedName>
    <definedName name="IQ_GP_2YR_ANN_CAGR" hidden="1">"c6091"</definedName>
    <definedName name="IQ_GP_2YR_ANN_GROWTH" hidden="1">"c514"</definedName>
    <definedName name="IQ_GP_3YR_ANN_CAGR" hidden="1">"c6092"</definedName>
    <definedName name="IQ_GP_3YR_ANN_GROWTH" hidden="1">"c515"</definedName>
    <definedName name="IQ_GP_5YR_ANN_CAGR" hidden="1">"c6093"</definedName>
    <definedName name="IQ_GP_5YR_ANN_GROWTH" hidden="1">"c516"</definedName>
    <definedName name="IQ_GP_7YR_ANN_CAGR" hidden="1">"c6094"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CAGR" hidden="1">"c6095"</definedName>
    <definedName name="IQ_GROSS_LOANS_10YR_ANN_GROWTH" hidden="1">"c522"</definedName>
    <definedName name="IQ_GROSS_LOANS_1YR_ANN_GROWTH" hidden="1">"c523"</definedName>
    <definedName name="IQ_GROSS_LOANS_2YR_ANN_CAGR" hidden="1">"c6096"</definedName>
    <definedName name="IQ_GROSS_LOANS_2YR_ANN_GROWTH" hidden="1">"c524"</definedName>
    <definedName name="IQ_GROSS_LOANS_3YR_ANN_CAGR" hidden="1">"c6097"</definedName>
    <definedName name="IQ_GROSS_LOANS_3YR_ANN_GROWTH" hidden="1">"c525"</definedName>
    <definedName name="IQ_GROSS_LOANS_5YR_ANN_CAGR" hidden="1">"c6098"</definedName>
    <definedName name="IQ_GROSS_LOANS_5YR_ANN_GROWTH" hidden="1">"c526"</definedName>
    <definedName name="IQ_GROSS_LOANS_7YR_ANN_CAGR" hidden="1">"c6099"</definedName>
    <definedName name="IQ_GROSS_LOANS_7YR_ANN_GROWTH" hidden="1">"c527"</definedName>
    <definedName name="IQ_GROSS_LOANS_TOTAL_DEPOSITS" hidden="1">"c528"</definedName>
    <definedName name="IQ_GROSS_LOSSES_AVG_LOANS_FFIEC" hidden="1">"c13475"</definedName>
    <definedName name="IQ_GROSS_MARGIN" hidden="1">"c529"</definedName>
    <definedName name="IQ_GROSS_MARGIN_ACT_OR_EST" hidden="1">"c5554"</definedName>
    <definedName name="IQ_GROSS_MARGIN_EST" hidden="1">"c5547"</definedName>
    <definedName name="IQ_GROSS_MARGIN_HIGH_EST" hidden="1">"c5549"</definedName>
    <definedName name="IQ_GROSS_MARGIN_LOW_EST" hidden="1">"c5550"</definedName>
    <definedName name="IQ_GROSS_MARGIN_MEDIAN_EST" hidden="1">"c5548"</definedName>
    <definedName name="IQ_GROSS_MARGIN_NUM_EST" hidden="1">"c5551"</definedName>
    <definedName name="IQ_GROSS_MARGIN_STDDEV_EST" hidden="1">"c5552"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ROUP_EMBEDDED_VALUE_ASSET_MANAGEMENT" hidden="1">"c9955"</definedName>
    <definedName name="IQ_GROUP_EMBEDDED_VALUE_HEALTH" hidden="1">"c9954"</definedName>
    <definedName name="IQ_GROUP_EMBEDDED_VALUE_LIFE" hidden="1">"c9953"</definedName>
    <definedName name="IQ_GROUP_EMBEDDED_VALUE_LIFE_OTHER" hidden="1">"c9956"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" hidden="1">"c6279"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" hidden="1">"c6280"</definedName>
    <definedName name="IQ_GW_INTAN_AMORT_REIT" hidden="1">"c1480"</definedName>
    <definedName name="IQ_GW_INTAN_AMORT_UTI" hidden="1">"c1481"</definedName>
    <definedName name="IQ_HC_ADJUSTED_DISCHARGES" hidden="1">"c9977"</definedName>
    <definedName name="IQ_HC_ADMISSIONS" hidden="1">"c5953"</definedName>
    <definedName name="IQ_HC_ADMISSIONS_GROWTH" hidden="1">"c5997"</definedName>
    <definedName name="IQ_HC_ADMISSIONS_MANAGED_CARE" hidden="1">"c5956"</definedName>
    <definedName name="IQ_HC_ADMISSIONS_MEDICAID" hidden="1">"c5955"</definedName>
    <definedName name="IQ_HC_ADMISSIONS_MEDICARE" hidden="1">"c5954"</definedName>
    <definedName name="IQ_HC_ADMISSIONS_OTHER" hidden="1">"c5957"</definedName>
    <definedName name="IQ_HC_ADMISSIONS_SF" hidden="1">"c6006"</definedName>
    <definedName name="IQ_HC_ALFS" hidden="1">"c5952"</definedName>
    <definedName name="IQ_HC_ASO_COVERED_LIVES" hidden="1">"c9982"</definedName>
    <definedName name="IQ_HC_ASO_MEMBERSHIP" hidden="1">"c9985"</definedName>
    <definedName name="IQ_HC_AVG_BEDS_SVC" hidden="1">"c5951"</definedName>
    <definedName name="IQ_HC_AVG_DAILY_CENSUS" hidden="1">"c5965"</definedName>
    <definedName name="IQ_HC_AVG_LICENSED_BEDS" hidden="1">"c5949"</definedName>
    <definedName name="IQ_HC_AVG_LICENSED_BEDS_SF" hidden="1">"c6004"</definedName>
    <definedName name="IQ_HC_AVG_STAY" hidden="1">"c5966"</definedName>
    <definedName name="IQ_HC_AVG_STAY_SF" hidden="1">"c6016"</definedName>
    <definedName name="IQ_HC_BEDS_SVC" hidden="1">"c5950"</definedName>
    <definedName name="IQ_HC_CASES" hidden="1">"c9978"</definedName>
    <definedName name="IQ_HC_CLAIMS_RESERVES" hidden="1">"c9989"</definedName>
    <definedName name="IQ_HC_DAYS_REV_OUT" hidden="1">"c5993"</definedName>
    <definedName name="IQ_HC_DISCHARGES" hidden="1">"c9976"</definedName>
    <definedName name="IQ_HC_EQUIV_ADMISSIONS_GROWTH" hidden="1">"c5998"</definedName>
    <definedName name="IQ_HC_EQUIVALENT_ADMISSIONS" hidden="1">"c5958"</definedName>
    <definedName name="IQ_HC_EQUIVALENT_ADMISSIONS_SF" hidden="1">"c6007"</definedName>
    <definedName name="IQ_HC_EQUIVALENT_PATIENT_DAYS" hidden="1">"c9980"</definedName>
    <definedName name="IQ_HC_ER_VISITS" hidden="1">"c5964"</definedName>
    <definedName name="IQ_HC_ER_VISITS_SF" hidden="1">"c6017"</definedName>
    <definedName name="IQ_HC_GROSS_INPATIENT_REV" hidden="1">"c5987"</definedName>
    <definedName name="IQ_HC_GROSS_OUTPATIENT_REV" hidden="1">"c5988"</definedName>
    <definedName name="IQ_HC_GROSS_PATIENT_REV" hidden="1">"c5989"</definedName>
    <definedName name="IQ_HC_HOSP_FACILITIES_CONSOL" hidden="1">"c5945"</definedName>
    <definedName name="IQ_HC_HOSP_FACILITIES_CONSOL_SF" hidden="1">"c6000"</definedName>
    <definedName name="IQ_HC_HOSP_FACILITIES_NON_CONSOL" hidden="1">"c5946"</definedName>
    <definedName name="IQ_HC_HOSP_FACILITIES_NON_CONSOL_SF" hidden="1">"c6001"</definedName>
    <definedName name="IQ_HC_HOSP_FACILITIES_TOTAL" hidden="1">"c5947"</definedName>
    <definedName name="IQ_HC_HOSP_FACILITIES_TOTAL_SF" hidden="1">"c6002"</definedName>
    <definedName name="IQ_HC_INPATIENT_PROCEDURES" hidden="1">"c5961"</definedName>
    <definedName name="IQ_HC_INPATIENT_PROCEDURES_SF" hidden="1">"c6011"</definedName>
    <definedName name="IQ_HC_INPATIENT_REV_PER_ADMISSION" hidden="1">"c5994"</definedName>
    <definedName name="IQ_HC_INTPATIENT_SVCS_PCT_REV" hidden="1">"c5975"</definedName>
    <definedName name="IQ_HC_INTPATIENT_SVCS_PCT_REV_SF" hidden="1">"c6015"</definedName>
    <definedName name="IQ_HC_LICENSED_BEDS" hidden="1">"c5948"</definedName>
    <definedName name="IQ_HC_LICENSED_BEDS_SF" hidden="1">"c6003"</definedName>
    <definedName name="IQ_HC_MANAGED_CARE_PCT_ADMISSIONS" hidden="1">"c5982"</definedName>
    <definedName name="IQ_HC_MANAGED_CARE_PCT_REV" hidden="1">"c5978"</definedName>
    <definedName name="IQ_HC_MEDICAID_PCT_ADMISSIONS" hidden="1">"c5981"</definedName>
    <definedName name="IQ_HC_MEDICAID_PCT_REV" hidden="1">"c5977"</definedName>
    <definedName name="IQ_HC_MEDICAL_EXPENSE_RATIO" hidden="1">"c9987"</definedName>
    <definedName name="IQ_HC_MEDICARE_PCT_ADMISSIONS" hidden="1">"c5980"</definedName>
    <definedName name="IQ_HC_MEDICARE_PCT_REV" hidden="1">"c5976"</definedName>
    <definedName name="IQ_HC_NET_INPATIENT_REV" hidden="1">"c5984"</definedName>
    <definedName name="IQ_HC_NET_OUTPATIENT_REV" hidden="1">"c5985"</definedName>
    <definedName name="IQ_HC_NET_PATIENT_REV" hidden="1">"c5986"</definedName>
    <definedName name="IQ_HC_NET_PATIENT_REV_SF" hidden="1">"c6005"</definedName>
    <definedName name="IQ_HC_OCC_RATE" hidden="1">"c5967"</definedName>
    <definedName name="IQ_HC_OCC_RATE_LICENSED_BEDS" hidden="1">"c5968"</definedName>
    <definedName name="IQ_HC_OCC_RATE_SF" hidden="1">"c6009"</definedName>
    <definedName name="IQ_HC_OPEX_SUPPLIES" hidden="1">"c5990"</definedName>
    <definedName name="IQ_HC_OTHER_OPEX_PCT_REV" hidden="1">"c5973"</definedName>
    <definedName name="IQ_HC_OUTPATIENT_PROCEDURES" hidden="1">"c5962"</definedName>
    <definedName name="IQ_HC_OUTPATIENT_PROCEDURES_SF" hidden="1">"c6012"</definedName>
    <definedName name="IQ_HC_OUTPATIENT_REV_PER_ADMISSION" hidden="1">"c5995"</definedName>
    <definedName name="IQ_HC_OUTPATIENT_SVCS_PCT_REV" hidden="1">"c5974"</definedName>
    <definedName name="IQ_HC_OUTPATIENT_SVCS_PCT_REV_SF" hidden="1">"c6014"</definedName>
    <definedName name="IQ_HC_PATIENT_DAYS" hidden="1">"c5960"</definedName>
    <definedName name="IQ_HC_PATIENT_DAYS_SF" hidden="1">"c6010"</definedName>
    <definedName name="IQ_HC_PROF_GEN_LIAB_CLAIM_PAID" hidden="1">"c5991"</definedName>
    <definedName name="IQ_HC_PROF_GEN_LIAB_EXP_BENEFIT" hidden="1">"c5992"</definedName>
    <definedName name="IQ_HC_PROVISION_DOUBTFUL_PCT_REV" hidden="1">"c5972"</definedName>
    <definedName name="IQ_HC_REV_GROWTH" hidden="1">"c5996"</definedName>
    <definedName name="IQ_HC_REV_PER_CASE" hidden="1">"c9979"</definedName>
    <definedName name="IQ_HC_REV_PER_DISCHARGE" hidden="1">"c9990"</definedName>
    <definedName name="IQ_HC_REV_PER_EQUIV_ADMISSION" hidden="1">"c5959"</definedName>
    <definedName name="IQ_HC_REV_PER_EQUIV_ADMISSION_SF" hidden="1">"c6008"</definedName>
    <definedName name="IQ_HC_REV_PER_EQUIV_ADMISSIONS_GROWTH" hidden="1">"c5999"</definedName>
    <definedName name="IQ_HC_REV_PER_PATIENT_DAY" hidden="1">"c5969"</definedName>
    <definedName name="IQ_HC_REV_PER_PATIENT_DAY_SF" hidden="1">"c6018"</definedName>
    <definedName name="IQ_HC_RISK_COVERED_LIVES" hidden="1">"c9981"</definedName>
    <definedName name="IQ_HC_RISK_MEMBERSHIP" hidden="1">"c9984"</definedName>
    <definedName name="IQ_HC_SALARIES_PCT_REV" hidden="1">"c5970"</definedName>
    <definedName name="IQ_HC_SGA_MARGIN" hidden="1">"c9988"</definedName>
    <definedName name="IQ_HC_SUPPLIES_PCT_REV" hidden="1">"c5971"</definedName>
    <definedName name="IQ_HC_TOTAL_COVERED_LIVES" hidden="1">"c9983"</definedName>
    <definedName name="IQ_HC_TOTAL_MEMBERSHIP" hidden="1">"c9986"</definedName>
    <definedName name="IQ_HC_TOTAL_PROCEDURES" hidden="1">"c5963"</definedName>
    <definedName name="IQ_HC_TOTAL_PROCEDURES_SF" hidden="1">"c6013"</definedName>
    <definedName name="IQ_HC_UNINSURED_PCT_ADMISSIONS" hidden="1">"c5983"</definedName>
    <definedName name="IQ_HC_UNINSURED_PCT_REV" hidden="1">"c5979"</definedName>
    <definedName name="IQ_HELD_MATURITY_FDIC" hidden="1">"c6408"</definedName>
    <definedName name="IQ_HG_ACQUIRED_FRANCHISE_HOTEL_PROPERTIES" hidden="1">"c8584"</definedName>
    <definedName name="IQ_HG_ACQUIRED_FRANCHISE_ROOMS" hidden="1">"c8614"</definedName>
    <definedName name="IQ_HG_ACQUIRED_HOTEL_PROPERTIES" hidden="1">"c8572"</definedName>
    <definedName name="IQ_HG_ACQUIRED_MANAGED_HOTEL_PROPERTIES" hidden="1">"c8590"</definedName>
    <definedName name="IQ_HG_ACQUIRED_MANAGED_ROOMS" hidden="1">"c8620"</definedName>
    <definedName name="IQ_HG_ACQUIRED_OTHER_HOTEL_PROPERTIES" hidden="1">"c8596"</definedName>
    <definedName name="IQ_HG_ACQUIRED_OTHER_ROOMS" hidden="1">"c8626"</definedName>
    <definedName name="IQ_HG_ACQUIRED_OWNED_HOTEL_PROPERTIES" hidden="1">"c8578"</definedName>
    <definedName name="IQ_HG_ACQUIRED_OWNED_ROOMS" hidden="1">"c8608"</definedName>
    <definedName name="IQ_HG_ACQUIRED_ROOMS" hidden="1">"c8602"</definedName>
    <definedName name="IQ_HG_ADR_CHANGE_FRANCHISE" hidden="1">"c8684"</definedName>
    <definedName name="IQ_HG_ADR_CHANGE_MANAGED" hidden="1">"c8685"</definedName>
    <definedName name="IQ_HG_ADR_CHANGE_OTHER" hidden="1">"c8686"</definedName>
    <definedName name="IQ_HG_ADR_CHANGE_OWNED" hidden="1">"c8683"</definedName>
    <definedName name="IQ_HG_ADR_CHANGE_OWNED_COMP" hidden="1">"c8709"</definedName>
    <definedName name="IQ_HG_ADR_CHANGE_TOTAL" hidden="1">"c8687"</definedName>
    <definedName name="IQ_HG_ADR_CHANGE_TOTAL_COMP" hidden="1">"c8710"</definedName>
    <definedName name="IQ_HG_ADR_FRANCHISE" hidden="1">"c8664"</definedName>
    <definedName name="IQ_HG_ADR_MANAGED" hidden="1">"c8665"</definedName>
    <definedName name="IQ_HG_ADR_OTHER" hidden="1">"c8666"</definedName>
    <definedName name="IQ_HG_ADR_OWNED" hidden="1">"c8663"</definedName>
    <definedName name="IQ_HG_ADR_OWNED_COMP" hidden="1">"c8701"</definedName>
    <definedName name="IQ_HG_ADR_TOTAL" hidden="1">"c8667"</definedName>
    <definedName name="IQ_HG_ADR_TOTAL_COMP" hidden="1">"c8702"</definedName>
    <definedName name="IQ_HG_CASINOS_JV" hidden="1">"c8631"</definedName>
    <definedName name="IQ_HG_CASINOS_MANAGED" hidden="1">"c8632"</definedName>
    <definedName name="IQ_HG_CASINOS_OWNED" hidden="1">"c8630"</definedName>
    <definedName name="IQ_HG_CASINOS_TOTAL" hidden="1">"c8633"</definedName>
    <definedName name="IQ_HG_CLOSED_FRANCHISE_HOTEL_PROPERTIES" hidden="1">"c8586"</definedName>
    <definedName name="IQ_HG_CLOSED_FRANCHISE_ROOMS" hidden="1">"c8616"</definedName>
    <definedName name="IQ_HG_CLOSED_HOTEL_PROPERTIES" hidden="1">"c8574"</definedName>
    <definedName name="IQ_HG_CLOSED_MANAGED_HOTEL_PROPERTIES" hidden="1">"c8592"</definedName>
    <definedName name="IQ_HG_CLOSED_MANAGED_ROOMS" hidden="1">"c8622"</definedName>
    <definedName name="IQ_HG_CLOSED_OTHER_HOTEL_PROPERTIES" hidden="1">"c8598"</definedName>
    <definedName name="IQ_HG_CLOSED_OTHER_ROOMS" hidden="1">"c8628"</definedName>
    <definedName name="IQ_HG_CLOSED_OWNED_HOTEL_PROPERTIES" hidden="1">"c8580"</definedName>
    <definedName name="IQ_HG_CLOSED_OWNED_ROOMS" hidden="1">"c8610"</definedName>
    <definedName name="IQ_HG_CLOSED_ROOMS" hidden="1">"c8604"</definedName>
    <definedName name="IQ_HG_EXP_CASINO" hidden="1">"c8733"</definedName>
    <definedName name="IQ_HG_EXP_DEVELOPMENT" hidden="1">"c8738"</definedName>
    <definedName name="IQ_HG_EXP_ENTERTAINMENT" hidden="1">"c8736"</definedName>
    <definedName name="IQ_HG_EXP_FOOD_BEV" hidden="1">"c8734"</definedName>
    <definedName name="IQ_HG_EXP_FRANCHISE_MANAGEMENT" hidden="1">"c8744"</definedName>
    <definedName name="IQ_HG_EXP_OTHER_MNGD_FRANCHISE_PROP" hidden="1">"c8742"</definedName>
    <definedName name="IQ_HG_EXP_OWNED_LEASED_CONSOL_JV" hidden="1">"c8740"</definedName>
    <definedName name="IQ_HG_EXP_REIMBURSEMENTS" hidden="1">"c8743"</definedName>
    <definedName name="IQ_HG_EXP_RETAIL" hidden="1">"c8737"</definedName>
    <definedName name="IQ_HG_EXP_ROOMS" hidden="1">"c8735"</definedName>
    <definedName name="IQ_HG_EXP_THEATRE_CONCESSION" hidden="1">"c8739"</definedName>
    <definedName name="IQ_HG_EXP_VACA_OWNERSHIP_RES" hidden="1">"c8741"</definedName>
    <definedName name="IQ_HG_FOOD_PROM_COSTS" hidden="1">"c8746"</definedName>
    <definedName name="IQ_HG_FRANCHISE_HOTEL_PROPERTIES_BEG" hidden="1">"c8582"</definedName>
    <definedName name="IQ_HG_FRANCHISE_ROOMS_BEG" hidden="1">"c8612"</definedName>
    <definedName name="IQ_HG_GAMING_SPACE_JV" hidden="1">"c8635"</definedName>
    <definedName name="IQ_HG_GAMING_SPACE_MANAGED" hidden="1">"c8636"</definedName>
    <definedName name="IQ_HG_GAMING_SPACE_OWNED" hidden="1">"c8634"</definedName>
    <definedName name="IQ_HG_GAMING_SPACE_TOTAL" hidden="1">"c8637"</definedName>
    <definedName name="IQ_HG_HOTEL_PROPERTIES_BEG" hidden="1">"c8570"</definedName>
    <definedName name="IQ_HG_LAND_AVAIL_JV" hidden="1">"c8647"</definedName>
    <definedName name="IQ_HG_LAND_AVAIL_MANAGED" hidden="1">"c8648"</definedName>
    <definedName name="IQ_HG_LAND_AVAIL_OWNED" hidden="1">"c8646"</definedName>
    <definedName name="IQ_HG_LAND_AVAIL_TOTAL" hidden="1">"c8649"</definedName>
    <definedName name="IQ_HG_LAND_JV" hidden="1">"c8651"</definedName>
    <definedName name="IQ_HG_LAND_MANAGED" hidden="1">"c8652"</definedName>
    <definedName name="IQ_HG_LAND_OWNED" hidden="1">"c8650"</definedName>
    <definedName name="IQ_HG_LAND_TOTAL" hidden="1">"c8653"</definedName>
    <definedName name="IQ_HG_MANAGED_HOTEL_PROPERTIES_BEG" hidden="1">"c8588"</definedName>
    <definedName name="IQ_HG_MANAGED_ROOMS_BEG" hidden="1">"c8618"</definedName>
    <definedName name="IQ_HG_OCCUPANCY_CHANGE_FRANCHISE" hidden="1">"c8675"</definedName>
    <definedName name="IQ_HG_OCCUPANCY_CHANGE_MANAGED" hidden="1">"c8677"</definedName>
    <definedName name="IQ_HG_OCCUPANCY_CHANGE_OTHER" hidden="1">"c8679"</definedName>
    <definedName name="IQ_HG_OCCUPANCY_CHANGE_OWNED" hidden="1">"c8673"</definedName>
    <definedName name="IQ_HG_OCCUPANCY_CHANGE_OWNED_COMP" hidden="1">"c8705"</definedName>
    <definedName name="IQ_HG_OCCUPANCY_CHANGE_TOTAL" hidden="1">"c8681"</definedName>
    <definedName name="IQ_HG_OCCUPANCY_CHANGE_TOTAL_COMP" hidden="1">"c8707"</definedName>
    <definedName name="IQ_HG_OCCUPANCY_FRANCHISE" hidden="1">"c8659"</definedName>
    <definedName name="IQ_HG_OCCUPANCY_INCDEC_FRANCHISE" hidden="1">"c8676"</definedName>
    <definedName name="IQ_HG_OCCUPANCY_INCDEC_MANAGED" hidden="1">"c8678"</definedName>
    <definedName name="IQ_HG_OCCUPANCY_INCDEC_OTHER" hidden="1">"c8680"</definedName>
    <definedName name="IQ_HG_OCCUPANCY_INCDEC_OWNED" hidden="1">"c8674"</definedName>
    <definedName name="IQ_HG_OCCUPANCY_INCDEC_OWNED_COMP" hidden="1">"c8706"</definedName>
    <definedName name="IQ_HG_OCCUPANCY_INCDEC_TOTAL" hidden="1">"c8682"</definedName>
    <definedName name="IQ_HG_OCCUPANCY_INCDEC_TOTAL_COMP" hidden="1">"c8708"</definedName>
    <definedName name="IQ_HG_OCCUPANCY_MANAGED" hidden="1">"c8660"</definedName>
    <definedName name="IQ_HG_OCCUPANCY_OTHER" hidden="1">"c8661"</definedName>
    <definedName name="IQ_HG_OCCUPANCY_OWNED" hidden="1">"c8658"</definedName>
    <definedName name="IQ_HG_OCCUPANCY_OWNED_COMP" hidden="1">"c8699"</definedName>
    <definedName name="IQ_HG_OCCUPANCY_TOTAL" hidden="1">"c8662"</definedName>
    <definedName name="IQ_HG_OCCUPANCY_TOTAL_COMP" hidden="1">"c8700"</definedName>
    <definedName name="IQ_HG_OPENED_FRANCHISE_HOTEL_PROPERTIES" hidden="1">"c8583"</definedName>
    <definedName name="IQ_HG_OPENED_FRANCHISE_ROOMS" hidden="1">"c8613"</definedName>
    <definedName name="IQ_HG_OPENED_HOTEL_PROPERTIES" hidden="1">"c8571"</definedName>
    <definedName name="IQ_HG_OPENED_MANAGED_HOTEL_PROPERTIES" hidden="1">"c8589"</definedName>
    <definedName name="IQ_HG_OPENED_MANAGED_ROOMS" hidden="1">"c8619"</definedName>
    <definedName name="IQ_HG_OPENED_OTHER_HOTEL_PROPERTIES" hidden="1">"c8595"</definedName>
    <definedName name="IQ_HG_OPENED_OTHER_ROOMS" hidden="1">"c8625"</definedName>
    <definedName name="IQ_HG_OPENED_OWNED_HOTEL_PROPERTIES" hidden="1">"c8577"</definedName>
    <definedName name="IQ_HG_OPENED_OWNED_ROOMS" hidden="1">"c8607"</definedName>
    <definedName name="IQ_HG_OPENED_ROOMS" hidden="1">"c8601"</definedName>
    <definedName name="IQ_HG_OTHER_HOTEL_PROPERTIES_BEG" hidden="1">"c8594"</definedName>
    <definedName name="IQ_HG_OTHER_PROM_COSTS" hidden="1">"c8747"</definedName>
    <definedName name="IQ_HG_OTHER_ROOMS_BEG" hidden="1">"c8624"</definedName>
    <definedName name="IQ_HG_OWNED_HOTEL_PROPERTIES_BEG" hidden="1">"c8576"</definedName>
    <definedName name="IQ_HG_OWNED_ROOMS_BEG" hidden="1">"c8606"</definedName>
    <definedName name="IQ_HG_PARKING_SPACES_JV" hidden="1">"c8655"</definedName>
    <definedName name="IQ_HG_PARKING_SPACES_MANAGED" hidden="1">"c8656"</definedName>
    <definedName name="IQ_HG_PARKING_SPACES_OWNED" hidden="1">"c8654"</definedName>
    <definedName name="IQ_HG_PARKING_SPACES_TOTAL" hidden="1">"c8657"</definedName>
    <definedName name="IQ_HG_REV_BASE_MANAGEMENT_FEES" hidden="1">"c8726"</definedName>
    <definedName name="IQ_HG_REV_CASINO" hidden="1">"c8713"</definedName>
    <definedName name="IQ_HG_REV_COST_REIMBURSEMENT" hidden="1">"c8728"</definedName>
    <definedName name="IQ_HG_REV_ENTERTAINMENT" hidden="1">"c8716"</definedName>
    <definedName name="IQ_HG_REV_FOOD_BEV" hidden="1">"c8714"</definedName>
    <definedName name="IQ_HG_REV_FRANCHISE" hidden="1">"c8725"</definedName>
    <definedName name="IQ_HG_REV_INCENTIVE_MANAGEMENT_FEES" hidden="1">"c8727"</definedName>
    <definedName name="IQ_HG_REV_MANAGEMENT_FEES" hidden="1">"c8718"</definedName>
    <definedName name="IQ_HG_REV_OTHER_MNGD_FRANCHISE_PROP" hidden="1">"c8730"</definedName>
    <definedName name="IQ_HG_REV_OTHER_OP_SEGMENT" hidden="1">"c8721"</definedName>
    <definedName name="IQ_HG_REV_OTHER_OWNERSHIP_MIX" hidden="1">"c8731"</definedName>
    <definedName name="IQ_HG_REV_OWNED_LEASED_CONSOL_JV_HOTELS" hidden="1">"c8724"</definedName>
    <definedName name="IQ_HG_REV_PROMOTIONAL_ALLOWANCE" hidden="1">"c8722"</definedName>
    <definedName name="IQ_HG_REV_RACING" hidden="1">"c8719"</definedName>
    <definedName name="IQ_HG_REV_RETAIL" hidden="1">"c8717"</definedName>
    <definedName name="IQ_HG_REV_ROOMS" hidden="1">"c8715"</definedName>
    <definedName name="IQ_HG_REV_THEATRE_CONCESSION" hidden="1">"c8720"</definedName>
    <definedName name="IQ_HG_REV_TOTAL_OP_SEGMENT" hidden="1">"c8723"</definedName>
    <definedName name="IQ_HG_REV_TOTAL_OWNERSHIP_MIX" hidden="1">"c8732"</definedName>
    <definedName name="IQ_HG_REV_VACA_OWNERSHIP_RES_SALES_SVCS" hidden="1">"c8729"</definedName>
    <definedName name="IQ_HG_REVENUES_CHANGE_OWNED_COMP" hidden="1">"c8697"</definedName>
    <definedName name="IQ_HG_REVENUES_CHANGE_TOTAL_COMP" hidden="1">"c8698"</definedName>
    <definedName name="IQ_HG_REVPAR_CHANGE_MANAGED" hidden="1">"c8690"</definedName>
    <definedName name="IQ_HG_REVPAR_CHANGE_OTHER" hidden="1">"c8691"</definedName>
    <definedName name="IQ_HG_REVPAR_CHANGE_OWNED" hidden="1">"c8688"</definedName>
    <definedName name="IQ_HG_REVPAR_CHANGE_OWNED_COMP" hidden="1">"c8711"</definedName>
    <definedName name="IQ_HG_REVPAR_CHANGE_TOTAL" hidden="1">"c8692"</definedName>
    <definedName name="IQ_HG_REVPAR_CHANGE_TOTAL_COMP" hidden="1">"c8712"</definedName>
    <definedName name="IQ_HG_REVPAR_CHNAGE_FRANCHISE" hidden="1">"c8689"</definedName>
    <definedName name="IQ_HG_REVPAR_FRANCHISE" hidden="1">"c8669"</definedName>
    <definedName name="IQ_HG_REVPAR_MANAGED" hidden="1">"c8670"</definedName>
    <definedName name="IQ_HG_REVPAR_OTHER" hidden="1">"c8671"</definedName>
    <definedName name="IQ_HG_REVPAR_OWNED" hidden="1">"c8668"</definedName>
    <definedName name="IQ_HG_REVPAR_OWNED_COMP" hidden="1">"c8703"</definedName>
    <definedName name="IQ_HG_REVPAR_TOTAL" hidden="1">"c8672"</definedName>
    <definedName name="IQ_HG_REVPAR_TOTAL_COMP" hidden="1">"c8704"</definedName>
    <definedName name="IQ_HG_ROOM_PROM_COSTS" hidden="1">"c8745"</definedName>
    <definedName name="IQ_HG_ROOMS_BEG" hidden="1">"c8600"</definedName>
    <definedName name="IQ_HG_SLOT_MACHINES_JV" hidden="1">"c8639"</definedName>
    <definedName name="IQ_HG_SLOT_MACHINES_MANAGED" hidden="1">"c8640"</definedName>
    <definedName name="IQ_HG_SLOT_MACHINES_OWNED" hidden="1">"c8638"</definedName>
    <definedName name="IQ_HG_SLOT_MACHINES_TOTAL" hidden="1">"c8641"</definedName>
    <definedName name="IQ_HG_SOLD_FRANCHISE_HOTEL_PROPERTIES" hidden="1">"c8585"</definedName>
    <definedName name="IQ_HG_SOLD_FRANCHISE_ROOMS" hidden="1">"c8615"</definedName>
    <definedName name="IQ_HG_SOLD_HOTEL_PROPERTIES" hidden="1">"c8573"</definedName>
    <definedName name="IQ_HG_SOLD_MANAGED_HOTEL_PROPERTIES" hidden="1">"c8591"</definedName>
    <definedName name="IQ_HG_SOLD_MANAGED_ROOMS" hidden="1">"c8621"</definedName>
    <definedName name="IQ_HG_SOLD_OTHER_HOTEL_PROPERTIES" hidden="1">"c8597"</definedName>
    <definedName name="IQ_HG_SOLD_OTHER_ROOMS" hidden="1">"c8627"</definedName>
    <definedName name="IQ_HG_SOLD_OWNED_HOTEL_PROPERTIES" hidden="1">"c8579"</definedName>
    <definedName name="IQ_HG_SOLD_OWNED_ROOMS" hidden="1">"c8609"</definedName>
    <definedName name="IQ_HG_SOLD_ROOMS" hidden="1">"c8603"</definedName>
    <definedName name="IQ_HG_TABLE_GAMES_JV" hidden="1">"c8643"</definedName>
    <definedName name="IQ_HG_TABLE_GAMES_MANAGED" hidden="1">"c8644"</definedName>
    <definedName name="IQ_HG_TABLE_GAMES_OWNED" hidden="1">"c8642"</definedName>
    <definedName name="IQ_HG_TABLE_GAMES_TOTAL" hidden="1">"c8645"</definedName>
    <definedName name="IQ_HG_TOTAL_FRANCHISE_HOTEL_PROPERTIES" hidden="1">"c8587"</definedName>
    <definedName name="IQ_HG_TOTAL_FRANCHISE_ROOMS" hidden="1">"c8617"</definedName>
    <definedName name="IQ_HG_TOTAL_HOTEL_PROPERTIES" hidden="1">"c8575"</definedName>
    <definedName name="IQ_HG_TOTAL_MANAGED_HOTEL_PROPERTIES" hidden="1">"c8593"</definedName>
    <definedName name="IQ_HG_TOTAL_MANAGED_ROOMS" hidden="1">"c8623"</definedName>
    <definedName name="IQ_HG_TOTAL_OTHER_HOTEL_PROPERTIES" hidden="1">"c8599"</definedName>
    <definedName name="IQ_HG_TOTAL_OTHER_ROOMS" hidden="1">"c8629"</definedName>
    <definedName name="IQ_HG_TOTAL_OWNED_HOTEL_PROPERTIES" hidden="1">"c8581"</definedName>
    <definedName name="IQ_HG_TOTAL_OWNED_PROPERTIES_COMP" hidden="1">"c8693"</definedName>
    <definedName name="IQ_HG_TOTAL_OWNED_ROOMS" hidden="1">"c8611"</definedName>
    <definedName name="IQ_HG_TOTAL_OWNED_ROOMS_COMP" hidden="1">"c8695"</definedName>
    <definedName name="IQ_HG_TOTAL_PROM_COSTS" hidden="1">"c8748"</definedName>
    <definedName name="IQ_HG_TOTAL_PROPERTIES_COMP" hidden="1">"c8694"</definedName>
    <definedName name="IQ_HG_TOTAL_ROOMS" hidden="1">"c8605"</definedName>
    <definedName name="IQ_HG_TOTAL_ROOMS_COMP" hidden="1">"c8696"</definedName>
    <definedName name="IQ_HIGH_LOW_CLOSEPRICE_DATE" hidden="1">"c1204"</definedName>
    <definedName name="IQ_HIGH_TARGET_PRICE" hidden="1">"c1651"</definedName>
    <definedName name="IQ_HIGH_TARGET_PRICE_CIQ" hidden="1">"c4659"</definedName>
    <definedName name="IQ_HIGH_TARGET_PRICE_REUT" hidden="1">"c5317"</definedName>
    <definedName name="IQ_HIGHPRICE" hidden="1">"c545"</definedName>
    <definedName name="IQ_HOME_AVG_LOAN_SIZE" hidden="1">"c5911"</definedName>
    <definedName name="IQ_HOME_BACKLOG" hidden="1">"c5844"</definedName>
    <definedName name="IQ_HOME_BACKLOG_AVG_JV" hidden="1">"c5848"</definedName>
    <definedName name="IQ_HOME_BACKLOG_AVG_JV_GROWTH" hidden="1">"c5928"</definedName>
    <definedName name="IQ_HOME_BACKLOG_AVG_JV_INC" hidden="1">"c5851"</definedName>
    <definedName name="IQ_HOME_BACKLOG_AVG_JV_INC_GROWTH" hidden="1">"c5931"</definedName>
    <definedName name="IQ_HOME_BACKLOG_AVG_PRICE" hidden="1">"c5845"</definedName>
    <definedName name="IQ_HOME_BACKLOG_AVG_PRICE_GROWTH" hidden="1">"c5925"</definedName>
    <definedName name="IQ_HOME_BACKLOG_GROWTH" hidden="1">"c5924"</definedName>
    <definedName name="IQ_HOME_BACKLOG_JV" hidden="1">"c5847"</definedName>
    <definedName name="IQ_HOME_BACKLOG_JV_GROWTH" hidden="1">"c5927"</definedName>
    <definedName name="IQ_HOME_BACKLOG_JV_INC" hidden="1">"c5850"</definedName>
    <definedName name="IQ_HOME_BACKLOG_JV_INC_GROWTH" hidden="1">"c5930"</definedName>
    <definedName name="IQ_HOME_BACKLOG_VALUE" hidden="1">"c5846"</definedName>
    <definedName name="IQ_HOME_BACKLOG_VALUE_GROWTH" hidden="1">"c5926"</definedName>
    <definedName name="IQ_HOME_BACKLOG_VALUE_JV" hidden="1">"c5849"</definedName>
    <definedName name="IQ_HOME_BACKLOG_VALUE_JV_GROWTH" hidden="1">"c5929"</definedName>
    <definedName name="IQ_HOME_BACKLOG_VALUE_JV_INC" hidden="1">"c5852"</definedName>
    <definedName name="IQ_HOME_BACKLOG_VALUE_JV_INC_GROWTH" hidden="1">"c5932"</definedName>
    <definedName name="IQ_HOME_COMMUNITIES_ACTIVE" hidden="1">"c5862"</definedName>
    <definedName name="IQ_HOME_COMMUNITIES_ACTIVE_GROWTH" hidden="1">"c5942"</definedName>
    <definedName name="IQ_HOME_COMMUNITIES_ACTIVE_JV" hidden="1">"c5863"</definedName>
    <definedName name="IQ_HOME_COMMUNITIES_ACTIVE_JV_GROWTH" hidden="1">"c5943"</definedName>
    <definedName name="IQ_HOME_COMMUNITIES_ACTIVE_JV_INC" hidden="1">"c5864"</definedName>
    <definedName name="IQ_HOME_COMMUNITIES_ACTIVE_JV_INC_GROWTH" hidden="1">"c5944"</definedName>
    <definedName name="IQ_HOME_COST_CONSTRUCTION_SVCS" hidden="1">"c5882"</definedName>
    <definedName name="IQ_HOME_COST_ELIMINATIONS_OTHER" hidden="1">"c5883"</definedName>
    <definedName name="IQ_HOME_COST_FINANCIAL_SVCS" hidden="1">"c5881"</definedName>
    <definedName name="IQ_HOME_COST_HOUSING" hidden="1">"c5877"</definedName>
    <definedName name="IQ_HOME_COST_LAND_LOT" hidden="1">"c5878"</definedName>
    <definedName name="IQ_HOME_COST_OTHER_HOMEBUILDING" hidden="1">"c5879"</definedName>
    <definedName name="IQ_HOME_COST_TOTAL" hidden="1">"c5884"</definedName>
    <definedName name="IQ_HOME_COST_TOTAL_HOMEBUILDING" hidden="1">"c5880"</definedName>
    <definedName name="IQ_HOME_DELIVERED" hidden="1">"c5835"</definedName>
    <definedName name="IQ_HOME_DELIVERED_AVG_PRICE" hidden="1">"c5836"</definedName>
    <definedName name="IQ_HOME_DELIVERED_AVG_PRICE_GROWTH" hidden="1">"c5916"</definedName>
    <definedName name="IQ_HOME_DELIVERED_AVG_PRICE_JV" hidden="1">"c5839"</definedName>
    <definedName name="IQ_HOME_DELIVERED_AVG_PRICE_JV_GROWTH" hidden="1">"c5919"</definedName>
    <definedName name="IQ_HOME_DELIVERED_AVG_PRICE_JV_INC" hidden="1">"c5842"</definedName>
    <definedName name="IQ_HOME_DELIVERED_AVG_PRICE_JV_INC_GROWTH" hidden="1">"c5922"</definedName>
    <definedName name="IQ_HOME_DELIVERED_GROWTH" hidden="1">"c5915"</definedName>
    <definedName name="IQ_HOME_DELIVERED_JV" hidden="1">"c5838"</definedName>
    <definedName name="IQ_HOME_DELIVERED_JV_GROWTH" hidden="1">"c5918"</definedName>
    <definedName name="IQ_HOME_DELIVERED_JV_INC" hidden="1">"c5841"</definedName>
    <definedName name="IQ_HOME_DELIVERED_JV_INC_GROWTH" hidden="1">"c5921"</definedName>
    <definedName name="IQ_HOME_DELIVERED_VALUE" hidden="1">"c5837"</definedName>
    <definedName name="IQ_HOME_DELIVERED_VALUE_GROWTH" hidden="1">"c5917"</definedName>
    <definedName name="IQ_HOME_DELIVERED_VALUE_JV" hidden="1">"c5840"</definedName>
    <definedName name="IQ_HOME_DELIVERED_VALUE_JV_GROWTH" hidden="1">"c5920"</definedName>
    <definedName name="IQ_HOME_DELIVERED_VALUE_JV_INC" hidden="1">"c5843"</definedName>
    <definedName name="IQ_HOME_DELIVERED_VALUE_JV_INC_GROWTH" hidden="1">"c5923"</definedName>
    <definedName name="IQ_HOME_EQUITY_LOC_NET_CHARGE_OFFS_FDIC" hidden="1">"c6644"</definedName>
    <definedName name="IQ_HOME_EQUITY_LOC_TOTAL_CHARGE_OFFS_FDIC" hidden="1">"c6606"</definedName>
    <definedName name="IQ_HOME_EQUITY_LOC_TOTAL_RECOVERIES_FDIC" hidden="1">"c6625"</definedName>
    <definedName name="IQ_HOME_FINISHED_HOMES_CIP" hidden="1">"c5865"</definedName>
    <definedName name="IQ_HOME_FIRSTLIEN_MORT_ORIGINATED" hidden="1">"c5905"</definedName>
    <definedName name="IQ_HOME_FIRSTLIEN_MORT_ORIGINATED_VOL" hidden="1">"c5908"</definedName>
    <definedName name="IQ_HOME_HUC" hidden="1">"c5822"</definedName>
    <definedName name="IQ_HOME_HUC_JV" hidden="1">"c5823"</definedName>
    <definedName name="IQ_HOME_HUC_JV_INC" hidden="1">"c5824"</definedName>
    <definedName name="IQ_HOME_INV_NOT_OWNED" hidden="1">"c5868"</definedName>
    <definedName name="IQ_HOME_LAND_DEVELOPMENT" hidden="1">"c5866"</definedName>
    <definedName name="IQ_HOME_LAND_FUTURE_DEVELOPMENT" hidden="1">"c5867"</definedName>
    <definedName name="IQ_HOME_LOAN_APPLICATIONS" hidden="1">"c5910"</definedName>
    <definedName name="IQ_HOME_LOANS_SOLD_COUNT" hidden="1">"c5912"</definedName>
    <definedName name="IQ_HOME_LOANS_SOLD_VALUE" hidden="1">"c5913"</definedName>
    <definedName name="IQ_HOME_LOTS_CONTROLLED" hidden="1">"c5831"</definedName>
    <definedName name="IQ_HOME_LOTS_FINISHED" hidden="1">"c5827"</definedName>
    <definedName name="IQ_HOME_LOTS_HELD_SALE" hidden="1">"c5830"</definedName>
    <definedName name="IQ_HOME_LOTS_JV" hidden="1">"c5833"</definedName>
    <definedName name="IQ_HOME_LOTS_JV_INC" hidden="1">"c5834"</definedName>
    <definedName name="IQ_HOME_LOTS_OTHER" hidden="1">"c5832"</definedName>
    <definedName name="IQ_HOME_LOTS_OWNED" hidden="1">"c5828"</definedName>
    <definedName name="IQ_HOME_LOTS_UNDER_DEVELOPMENT" hidden="1">"c5826"</definedName>
    <definedName name="IQ_HOME_LOTS_UNDER_OPTION" hidden="1">"c5829"</definedName>
    <definedName name="IQ_HOME_LOTS_UNDEVELOPED" hidden="1">"c5825"</definedName>
    <definedName name="IQ_HOME_MORT_CAPTURE_RATE" hidden="1">"c5906"</definedName>
    <definedName name="IQ_HOME_MORT_ORIGINATED" hidden="1">"c5907"</definedName>
    <definedName name="IQ_HOME_OBLIGATIONS_INV_NOT_OWNED" hidden="1">"c5914"</definedName>
    <definedName name="IQ_HOME_ORDERS" hidden="1">"c5853"</definedName>
    <definedName name="IQ_HOME_ORDERS_AVG_PRICE" hidden="1">"c5854"</definedName>
    <definedName name="IQ_HOME_ORDERS_AVG_PRICE_GROWTH" hidden="1">"c5934"</definedName>
    <definedName name="IQ_HOME_ORDERS_AVG_PRICE_JV" hidden="1">"c5857"</definedName>
    <definedName name="IQ_HOME_ORDERS_AVG_PRICE_JV_GROWTH" hidden="1">"c5937"</definedName>
    <definedName name="IQ_HOME_ORDERS_AVG_PRICE_JV_INC" hidden="1">"c5860"</definedName>
    <definedName name="IQ_HOME_ORDERS_AVG_PRICE_JV_INC_GROWTH" hidden="1">"c5940"</definedName>
    <definedName name="IQ_HOME_ORDERS_GROWTH" hidden="1">"c5933"</definedName>
    <definedName name="IQ_HOME_ORDERS_JV" hidden="1">"c5856"</definedName>
    <definedName name="IQ_HOME_ORDERS_JV_GROWTH" hidden="1">"c5936"</definedName>
    <definedName name="IQ_HOME_ORDERS_JV_INC" hidden="1">"c5859"</definedName>
    <definedName name="IQ_HOME_ORDERS_JV_INC_GROWTH" hidden="1">"c5939"</definedName>
    <definedName name="IQ_HOME_ORDERS_VALUE" hidden="1">"c5855"</definedName>
    <definedName name="IQ_HOME_ORDERS_VALUE_GROWTH" hidden="1">"c5935"</definedName>
    <definedName name="IQ_HOME_ORDERS_VALUE_JV" hidden="1">"c5858"</definedName>
    <definedName name="IQ_HOME_ORDERS_VALUE_JV_GROWTH" hidden="1">"c5938"</definedName>
    <definedName name="IQ_HOME_ORDERS_VALUE_JV_INC" hidden="1">"c5861"</definedName>
    <definedName name="IQ_HOME_ORDERS_VALUE_JV_INC_GROWTH" hidden="1">"c5941"</definedName>
    <definedName name="IQ_HOME_ORIGINATION_TOTAL" hidden="1">"c5909"</definedName>
    <definedName name="IQ_HOME_PRETAX_INC_CONSTRUCTION_SVCS" hidden="1">"c5890"</definedName>
    <definedName name="IQ_HOME_PRETAX_INC_ELIMINATIONS_OTHER" hidden="1">"c5891"</definedName>
    <definedName name="IQ_HOME_PRETAX_INC_FINANCIAL_SVCS" hidden="1">"c5889"</definedName>
    <definedName name="IQ_HOME_PRETAX_INC_HOUSING" hidden="1">"c5885"</definedName>
    <definedName name="IQ_HOME_PRETAX_INC_LAND_LOT" hidden="1">"c5886"</definedName>
    <definedName name="IQ_HOME_PRETAX_INC_OTHER_HOMEBUILDING" hidden="1">"c5887"</definedName>
    <definedName name="IQ_HOME_PRETAX_INC_TOTAL" hidden="1">"c5892"</definedName>
    <definedName name="IQ_HOME_PRETAX_INC_TOTAL_HOMEBUILDING" hidden="1">"c5888"</definedName>
    <definedName name="IQ_HOME_PURCH_OBLIGATION_1YR" hidden="1">"c5898"</definedName>
    <definedName name="IQ_HOME_PURCH_OBLIGATION_2YR" hidden="1">"c5899"</definedName>
    <definedName name="IQ_HOME_PURCH_OBLIGATION_3YR" hidden="1">"c5900"</definedName>
    <definedName name="IQ_HOME_PURCH_OBLIGATION_4YR" hidden="1">"c5901"</definedName>
    <definedName name="IQ_HOME_PURCH_OBLIGATION_5YR" hidden="1">"c5902"</definedName>
    <definedName name="IQ_HOME_PURCH_OBLIGATION_AFTER5" hidden="1">"c5903"</definedName>
    <definedName name="IQ_HOME_PURCH_OBLIGATION_TOTAL" hidden="1">"c5904"</definedName>
    <definedName name="IQ_HOME_REV_CONSTRUCTION_SERVICES" hidden="1">"c5874"</definedName>
    <definedName name="IQ_HOME_REV_ELIMINATIONS_OTHER" hidden="1">"c5875"</definedName>
    <definedName name="IQ_HOME_REV_FINANCIAL_SERVICES" hidden="1">"c5873"</definedName>
    <definedName name="IQ_HOME_REV_HOUSING" hidden="1">"c5872"</definedName>
    <definedName name="IQ_HOME_REV_LAND_LOT" hidden="1">"c5870"</definedName>
    <definedName name="IQ_HOME_REV_OTHER_HOMEBUILDING" hidden="1">"c5871"</definedName>
    <definedName name="IQ_HOME_REV_TOTAL" hidden="1">"c5876"</definedName>
    <definedName name="IQ_HOME_SALES_NEW" hidden="1">"c6924"</definedName>
    <definedName name="IQ_HOME_SALES_NEW_APR" hidden="1">"c7584"</definedName>
    <definedName name="IQ_HOME_SALES_NEW_APR_FC" hidden="1">"c8464"</definedName>
    <definedName name="IQ_HOME_SALES_NEW_FC" hidden="1">"c7804"</definedName>
    <definedName name="IQ_HOME_SALES_NEW_POP" hidden="1">"c7144"</definedName>
    <definedName name="IQ_HOME_SALES_NEW_POP_FC" hidden="1">"c8024"</definedName>
    <definedName name="IQ_HOME_SALES_NEW_YOY" hidden="1">"c7364"</definedName>
    <definedName name="IQ_HOME_SALES_NEW_YOY_FC" hidden="1">"c8244"</definedName>
    <definedName name="IQ_HOME_TOTAL_INV" hidden="1">"c5869"</definedName>
    <definedName name="IQ_HOME_WARRANTY_RES_BEG" hidden="1">"c5893"</definedName>
    <definedName name="IQ_HOME_WARRANTY_RES_END" hidden="1">"c5897"</definedName>
    <definedName name="IQ_HOME_WARRANTY_RES_ISS" hidden="1">"c5894"</definedName>
    <definedName name="IQ_HOME_WARRANTY_RES_OTHER" hidden="1">"c5896"</definedName>
    <definedName name="IQ_HOME_WARRANTY_RES_PAY" hidden="1">"c5895"</definedName>
    <definedName name="IQ_HOMEOWNERS_WRITTEN" hidden="1">"c546"</definedName>
    <definedName name="IQ_HOURLY_COMP" hidden="1">"c6879"</definedName>
    <definedName name="IQ_HOURLY_COMP_APR" hidden="1">"c7539"</definedName>
    <definedName name="IQ_HOURLY_COMP_APR_FC" hidden="1">"c8419"</definedName>
    <definedName name="IQ_HOURLY_COMP_FC" hidden="1">"c7759"</definedName>
    <definedName name="IQ_HOURLY_COMP_POP" hidden="1">"c7099"</definedName>
    <definedName name="IQ_HOURLY_COMP_POP_FC" hidden="1">"c7979"</definedName>
    <definedName name="IQ_HOURLY_COMP_YOY" hidden="1">"c7319"</definedName>
    <definedName name="IQ_HOURLY_COMP_YOY_FC" hidden="1">"c8199"</definedName>
    <definedName name="IQ_HOUSING_COMPLETIONS" hidden="1">"c6881"</definedName>
    <definedName name="IQ_HOUSING_COMPLETIONS_APR" hidden="1">"c7541"</definedName>
    <definedName name="IQ_HOUSING_COMPLETIONS_APR_FC" hidden="1">"c8421"</definedName>
    <definedName name="IQ_HOUSING_COMPLETIONS_FC" hidden="1">"c7761"</definedName>
    <definedName name="IQ_HOUSING_COMPLETIONS_POP" hidden="1">"c7101"</definedName>
    <definedName name="IQ_HOUSING_COMPLETIONS_POP_FC" hidden="1">"c7981"</definedName>
    <definedName name="IQ_HOUSING_COMPLETIONS_SINGLE_FAM_APR_FC_UNUSED" hidden="1">"c8422"</definedName>
    <definedName name="IQ_HOUSING_COMPLETIONS_SINGLE_FAM_APR_FC_UNUSED_UNUSED_UNUSED" hidden="1">"c8422"</definedName>
    <definedName name="IQ_HOUSING_COMPLETIONS_SINGLE_FAM_APR_UNUSED" hidden="1">"c7542"</definedName>
    <definedName name="IQ_HOUSING_COMPLETIONS_SINGLE_FAM_APR_UNUSED_UNUSED_UNUSED" hidden="1">"c7542"</definedName>
    <definedName name="IQ_HOUSING_COMPLETIONS_SINGLE_FAM_FC_UNUSED" hidden="1">"c7762"</definedName>
    <definedName name="IQ_HOUSING_COMPLETIONS_SINGLE_FAM_FC_UNUSED_UNUSED_UNUSED" hidden="1">"c7762"</definedName>
    <definedName name="IQ_HOUSING_COMPLETIONS_SINGLE_FAM_POP_FC_UNUSED" hidden="1">"c7982"</definedName>
    <definedName name="IQ_HOUSING_COMPLETIONS_SINGLE_FAM_POP_FC_UNUSED_UNUSED_UNUSED" hidden="1">"c7982"</definedName>
    <definedName name="IQ_HOUSING_COMPLETIONS_SINGLE_FAM_POP_UNUSED" hidden="1">"c7102"</definedName>
    <definedName name="IQ_HOUSING_COMPLETIONS_SINGLE_FAM_POP_UNUSED_UNUSED_UNUSED" hidden="1">"c7102"</definedName>
    <definedName name="IQ_HOUSING_COMPLETIONS_SINGLE_FAM_UNUSED" hidden="1">"c6882"</definedName>
    <definedName name="IQ_HOUSING_COMPLETIONS_SINGLE_FAM_UNUSED_UNUSED_UNUSED" hidden="1">"c6882"</definedName>
    <definedName name="IQ_HOUSING_COMPLETIONS_SINGLE_FAM_YOY_FC_UNUSED" hidden="1">"c8202"</definedName>
    <definedName name="IQ_HOUSING_COMPLETIONS_SINGLE_FAM_YOY_FC_UNUSED_UNUSED_UNUSED" hidden="1">"c8202"</definedName>
    <definedName name="IQ_HOUSING_COMPLETIONS_SINGLE_FAM_YOY_UNUSED" hidden="1">"c7322"</definedName>
    <definedName name="IQ_HOUSING_COMPLETIONS_SINGLE_FAM_YOY_UNUSED_UNUSED_UNUSED" hidden="1">"c7322"</definedName>
    <definedName name="IQ_HOUSING_COMPLETIONS_YOY" hidden="1">"c7321"</definedName>
    <definedName name="IQ_HOUSING_COMPLETIONS_YOY_FC" hidden="1">"c8201"</definedName>
    <definedName name="IQ_HOUSING_PERMITS" hidden="1">"c6883"</definedName>
    <definedName name="IQ_HOUSING_PERMITS_APR" hidden="1">"c7543"</definedName>
    <definedName name="IQ_HOUSING_PERMITS_APR_FC" hidden="1">"c8423"</definedName>
    <definedName name="IQ_HOUSING_PERMITS_FC" hidden="1">"c7763"</definedName>
    <definedName name="IQ_HOUSING_PERMITS_POP" hidden="1">"c7103"</definedName>
    <definedName name="IQ_HOUSING_PERMITS_POP_FC" hidden="1">"c7983"</definedName>
    <definedName name="IQ_HOUSING_PERMITS_YOY" hidden="1">"c7323"</definedName>
    <definedName name="IQ_HOUSING_PERMITS_YOY_FC" hidden="1">"c8203"</definedName>
    <definedName name="IQ_HOUSING_STARTS" hidden="1">"c6884"</definedName>
    <definedName name="IQ_HOUSING_STARTS_APR" hidden="1">"c7544"</definedName>
    <definedName name="IQ_HOUSING_STARTS_APR_FC" hidden="1">"c8424"</definedName>
    <definedName name="IQ_HOUSING_STARTS_FC" hidden="1">"c7764"</definedName>
    <definedName name="IQ_HOUSING_STARTS_POP" hidden="1">"c7104"</definedName>
    <definedName name="IQ_HOUSING_STARTS_POP_FC" hidden="1">"c7984"</definedName>
    <definedName name="IQ_HOUSING_STARTS_SAAR" hidden="1">"c6885"</definedName>
    <definedName name="IQ_HOUSING_STARTS_SAAR_APR" hidden="1">"c7545"</definedName>
    <definedName name="IQ_HOUSING_STARTS_SAAR_APR_FC" hidden="1">"c8425"</definedName>
    <definedName name="IQ_HOUSING_STARTS_SAAR_FC" hidden="1">"c7765"</definedName>
    <definedName name="IQ_HOUSING_STARTS_SAAR_POP" hidden="1">"c7105"</definedName>
    <definedName name="IQ_HOUSING_STARTS_SAAR_POP_FC" hidden="1">"c7985"</definedName>
    <definedName name="IQ_HOUSING_STARTS_SAAR_YOY" hidden="1">"c7325"</definedName>
    <definedName name="IQ_HOUSING_STARTS_SAAR_YOY_FC" hidden="1">"c8205"</definedName>
    <definedName name="IQ_HOUSING_STARTS_YOY" hidden="1">"c7324"</definedName>
    <definedName name="IQ_HOUSING_STARTS_YOY_FC" hidden="1">"c8204"</definedName>
    <definedName name="IQ_HRS_WORKED_FULL_PT" hidden="1">"c6880"</definedName>
    <definedName name="IQ_HRS_WORKED_FULL_PT_APR" hidden="1">"c7540"</definedName>
    <definedName name="IQ_HRS_WORKED_FULL_PT_APR_FC" hidden="1">"c8420"</definedName>
    <definedName name="IQ_HRS_WORKED_FULL_PT_FC" hidden="1">"c7760"</definedName>
    <definedName name="IQ_HRS_WORKED_FULL_PT_POP" hidden="1">"c7100"</definedName>
    <definedName name="IQ_HRS_WORKED_FULL_PT_POP_FC" hidden="1">"c7980"</definedName>
    <definedName name="IQ_HRS_WORKED_FULL_PT_YOY" hidden="1">"c7320"</definedName>
    <definedName name="IQ_HRS_WORKED_FULL_PT_YOY_FC" hidden="1">"c8200"</definedName>
    <definedName name="IQ_HTM_INVEST_SECURITIES_FFIEC" hidden="1">"c13455"</definedName>
    <definedName name="IQ_HTM_SECURITIES_TIER_1_FFIEC" hidden="1">"c13342"</definedName>
    <definedName name="IQ_IM_AVG_REV_PER_CLICK" hidden="1">"c9991"</definedName>
    <definedName name="IQ_IM_NUMBER_PAGE_VIEWS" hidden="1">"c9993"</definedName>
    <definedName name="IQ_IM_NUMBER_PAID_CLICKS" hidden="1">"c9995"</definedName>
    <definedName name="IQ_IM_NUMBER_PAID_CLICKS_GROWTH" hidden="1">"c9996"</definedName>
    <definedName name="IQ_IM_PAGE_VIEWS_GROWTH" hidden="1">"c9994"</definedName>
    <definedName name="IQ_IM_REV_PER_PAGE_VIEW_GROWTH" hidden="1">"c9992"</definedName>
    <definedName name="IQ_IM_TRAFFIC_ACQUISITION_CHANGE" hidden="1">"c9998"</definedName>
    <definedName name="IQ_IM_TRAFFIC_ACQUISITION_COST_TO_AD_REV_RATIO" hidden="1">"c10000"</definedName>
    <definedName name="IQ_IM_TRAFFIC_ACQUISITION_COST_TO_TOTAL_REV_RATIO" hidden="1">"c9999"</definedName>
    <definedName name="IQ_IM_TRAFFIC_ACQUISITION_COSTS" hidden="1">"c9997"</definedName>
    <definedName name="IQ_IMPAIR_OIL" hidden="1">"c547"</definedName>
    <definedName name="IQ_IMPAIRMENT_GW" hidden="1">"c548"</definedName>
    <definedName name="IQ_IMPORT_PRICE_INDEX" hidden="1">"c6886"</definedName>
    <definedName name="IQ_IMPORT_PRICE_INDEX_APR" hidden="1">"c7546"</definedName>
    <definedName name="IQ_IMPORT_PRICE_INDEX_APR_FC" hidden="1">"c8426"</definedName>
    <definedName name="IQ_IMPORT_PRICE_INDEX_FC" hidden="1">"c7766"</definedName>
    <definedName name="IQ_IMPORT_PRICE_INDEX_POP" hidden="1">"c7106"</definedName>
    <definedName name="IQ_IMPORT_PRICE_INDEX_POP_FC" hidden="1">"c7986"</definedName>
    <definedName name="IQ_IMPORT_PRICE_INDEX_YOY" hidden="1">"c7326"</definedName>
    <definedName name="IQ_IMPORT_PRICE_INDEX_YOY_FC" hidden="1">"c8206"</definedName>
    <definedName name="IQ_IMPORTS_GOODS" hidden="1">"c6887"</definedName>
    <definedName name="IQ_IMPORTS_GOODS_APR" hidden="1">"c7547"</definedName>
    <definedName name="IQ_IMPORTS_GOODS_APR_FC" hidden="1">"c8427"</definedName>
    <definedName name="IQ_IMPORTS_GOODS_FC" hidden="1">"c7767"</definedName>
    <definedName name="IQ_IMPORTS_GOODS_NONFACTOR_SERVICES" hidden="1">"c6888"</definedName>
    <definedName name="IQ_IMPORTS_GOODS_NONFACTOR_SERVICES_APR" hidden="1">"c7548"</definedName>
    <definedName name="IQ_IMPORTS_GOODS_NONFACTOR_SERVICES_APR_FC" hidden="1">"c8428"</definedName>
    <definedName name="IQ_IMPORTS_GOODS_NONFACTOR_SERVICES_FC" hidden="1">"c7768"</definedName>
    <definedName name="IQ_IMPORTS_GOODS_NONFACTOR_SERVICES_POP" hidden="1">"c7108"</definedName>
    <definedName name="IQ_IMPORTS_GOODS_NONFACTOR_SERVICES_POP_FC" hidden="1">"c7988"</definedName>
    <definedName name="IQ_IMPORTS_GOODS_NONFACTOR_SERVICES_YOY" hidden="1">"c7328"</definedName>
    <definedName name="IQ_IMPORTS_GOODS_NONFACTOR_SERVICES_YOY_FC" hidden="1">"c8208"</definedName>
    <definedName name="IQ_IMPORTS_GOODS_POP" hidden="1">"c7107"</definedName>
    <definedName name="IQ_IMPORTS_GOODS_POP_FC" hidden="1">"c7987"</definedName>
    <definedName name="IQ_IMPORTS_GOODS_REAL" hidden="1">"c11950"</definedName>
    <definedName name="IQ_IMPORTS_GOODS_REAL_APR" hidden="1">"c11953"</definedName>
    <definedName name="IQ_IMPORTS_GOODS_REAL_POP" hidden="1">"c11951"</definedName>
    <definedName name="IQ_IMPORTS_GOODS_REAL_SAAR_APR_FC_UNUSED" hidden="1">"c8523"</definedName>
    <definedName name="IQ_IMPORTS_GOODS_REAL_SAAR_APR_FC_UNUSED_UNUSED_UNUSED" hidden="1">"c8523"</definedName>
    <definedName name="IQ_IMPORTS_GOODS_REAL_SAAR_APR_UNUSED" hidden="1">"c7643"</definedName>
    <definedName name="IQ_IMPORTS_GOODS_REAL_SAAR_APR_UNUSED_UNUSED_UNUSED" hidden="1">"c7643"</definedName>
    <definedName name="IQ_IMPORTS_GOODS_REAL_SAAR_FC_UNUSED" hidden="1">"c7863"</definedName>
    <definedName name="IQ_IMPORTS_GOODS_REAL_SAAR_FC_UNUSED_UNUSED_UNUSED" hidden="1">"c7863"</definedName>
    <definedName name="IQ_IMPORTS_GOODS_REAL_SAAR_POP_FC_UNUSED" hidden="1">"c8083"</definedName>
    <definedName name="IQ_IMPORTS_GOODS_REAL_SAAR_POP_FC_UNUSED_UNUSED_UNUSED" hidden="1">"c8083"</definedName>
    <definedName name="IQ_IMPORTS_GOODS_REAL_SAAR_POP_UNUSED" hidden="1">"c7203"</definedName>
    <definedName name="IQ_IMPORTS_GOODS_REAL_SAAR_POP_UNUSED_UNUSED_UNUSED" hidden="1">"c7203"</definedName>
    <definedName name="IQ_IMPORTS_GOODS_REAL_SAAR_UNUSED" hidden="1">"c6983"</definedName>
    <definedName name="IQ_IMPORTS_GOODS_REAL_SAAR_UNUSED_UNUSED_UNUSED" hidden="1">"c6983"</definedName>
    <definedName name="IQ_IMPORTS_GOODS_REAL_SAAR_YOY_FC_UNUSED" hidden="1">"c8303"</definedName>
    <definedName name="IQ_IMPORTS_GOODS_REAL_SAAR_YOY_FC_UNUSED_UNUSED_UNUSED" hidden="1">"c8303"</definedName>
    <definedName name="IQ_IMPORTS_GOODS_REAL_SAAR_YOY_UNUSED" hidden="1">"c7423"</definedName>
    <definedName name="IQ_IMPORTS_GOODS_REAL_SAAR_YOY_UNUSED_UNUSED_UNUSED" hidden="1">"c7423"</definedName>
    <definedName name="IQ_IMPORTS_GOODS_REAL_YOY" hidden="1">"c11952"</definedName>
    <definedName name="IQ_IMPORTS_GOODS_SAAR" hidden="1">"c6891"</definedName>
    <definedName name="IQ_IMPORTS_GOODS_SAAR_APR" hidden="1">"c7551"</definedName>
    <definedName name="IQ_IMPORTS_GOODS_SAAR_APR_FC" hidden="1">"c8431"</definedName>
    <definedName name="IQ_IMPORTS_GOODS_SAAR_FC" hidden="1">"c7771"</definedName>
    <definedName name="IQ_IMPORTS_GOODS_SAAR_POP" hidden="1">"c7111"</definedName>
    <definedName name="IQ_IMPORTS_GOODS_SAAR_POP_FC" hidden="1">"c7991"</definedName>
    <definedName name="IQ_IMPORTS_GOODS_SAAR_USD_APR_FC" hidden="1">"c11849"</definedName>
    <definedName name="IQ_IMPORTS_GOODS_SAAR_USD_FC" hidden="1">"c11846"</definedName>
    <definedName name="IQ_IMPORTS_GOODS_SAAR_USD_POP_FC" hidden="1">"c11847"</definedName>
    <definedName name="IQ_IMPORTS_GOODS_SAAR_USD_YOY_FC" hidden="1">"c11848"</definedName>
    <definedName name="IQ_IMPORTS_GOODS_SAAR_YOY" hidden="1">"c7331"</definedName>
    <definedName name="IQ_IMPORTS_GOODS_SAAR_YOY_FC" hidden="1">"c8211"</definedName>
    <definedName name="IQ_IMPORTS_GOODS_SERVICES_APR_FC_UNUSED" hidden="1">"c8429"</definedName>
    <definedName name="IQ_IMPORTS_GOODS_SERVICES_APR_FC_UNUSED_UNUSED_UNUSED" hidden="1">"c8429"</definedName>
    <definedName name="IQ_IMPORTS_GOODS_SERVICES_APR_UNUSED" hidden="1">"c7549"</definedName>
    <definedName name="IQ_IMPORTS_GOODS_SERVICES_APR_UNUSED_UNUSED_UNUSED" hidden="1">"c7549"</definedName>
    <definedName name="IQ_IMPORTS_GOODS_SERVICES_FC_UNUSED" hidden="1">"c7769"</definedName>
    <definedName name="IQ_IMPORTS_GOODS_SERVICES_FC_UNUSED_UNUSED_UNUSED" hidden="1">"c7769"</definedName>
    <definedName name="IQ_IMPORTS_GOODS_SERVICES_POP_FC_UNUSED" hidden="1">"c7989"</definedName>
    <definedName name="IQ_IMPORTS_GOODS_SERVICES_POP_FC_UNUSED_UNUSED_UNUSED" hidden="1">"c7989"</definedName>
    <definedName name="IQ_IMPORTS_GOODS_SERVICES_POP_UNUSED" hidden="1">"c7109"</definedName>
    <definedName name="IQ_IMPORTS_GOODS_SERVICES_POP_UNUSED_UNUSED_UNUSED" hidden="1">"c7109"</definedName>
    <definedName name="IQ_IMPORTS_GOODS_SERVICES_REAL" hidden="1">"c6985"</definedName>
    <definedName name="IQ_IMPORTS_GOODS_SERVICES_REAL_APR" hidden="1">"c7645"</definedName>
    <definedName name="IQ_IMPORTS_GOODS_SERVICES_REAL_APR_FC" hidden="1">"c8525"</definedName>
    <definedName name="IQ_IMPORTS_GOODS_SERVICES_REAL_FC" hidden="1">"c7865"</definedName>
    <definedName name="IQ_IMPORTS_GOODS_SERVICES_REAL_POP" hidden="1">"c7205"</definedName>
    <definedName name="IQ_IMPORTS_GOODS_SERVICES_REAL_POP_FC" hidden="1">"c8085"</definedName>
    <definedName name="IQ_IMPORTS_GOODS_SERVICES_REAL_SAAR" hidden="1">"c11958"</definedName>
    <definedName name="IQ_IMPORTS_GOODS_SERVICES_REAL_SAAR_APR" hidden="1">"c11961"</definedName>
    <definedName name="IQ_IMPORTS_GOODS_SERVICES_REAL_SAAR_APR_FC_UNUSED" hidden="1">"c8524"</definedName>
    <definedName name="IQ_IMPORTS_GOODS_SERVICES_REAL_SAAR_APR_FC_UNUSED_UNUSED_UNUSED" hidden="1">"c8524"</definedName>
    <definedName name="IQ_IMPORTS_GOODS_SERVICES_REAL_SAAR_APR_UNUSED" hidden="1">"c7644"</definedName>
    <definedName name="IQ_IMPORTS_GOODS_SERVICES_REAL_SAAR_APR_UNUSED_UNUSED_UNUSED" hidden="1">"c7644"</definedName>
    <definedName name="IQ_IMPORTS_GOODS_SERVICES_REAL_SAAR_FC_UNUSED" hidden="1">"c7864"</definedName>
    <definedName name="IQ_IMPORTS_GOODS_SERVICES_REAL_SAAR_FC_UNUSED_UNUSED_UNUSED" hidden="1">"c7864"</definedName>
    <definedName name="IQ_IMPORTS_GOODS_SERVICES_REAL_SAAR_POP" hidden="1">"c11959"</definedName>
    <definedName name="IQ_IMPORTS_GOODS_SERVICES_REAL_SAAR_POP_FC_UNUSED" hidden="1">"c8084"</definedName>
    <definedName name="IQ_IMPORTS_GOODS_SERVICES_REAL_SAAR_POP_FC_UNUSED_UNUSED_UNUSED" hidden="1">"c8084"</definedName>
    <definedName name="IQ_IMPORTS_GOODS_SERVICES_REAL_SAAR_POP_UNUSED" hidden="1">"c7204"</definedName>
    <definedName name="IQ_IMPORTS_GOODS_SERVICES_REAL_SAAR_POP_UNUSED_UNUSED_UNUSED" hidden="1">"c7204"</definedName>
    <definedName name="IQ_IMPORTS_GOODS_SERVICES_REAL_SAAR_UNUSED" hidden="1">"c6984"</definedName>
    <definedName name="IQ_IMPORTS_GOODS_SERVICES_REAL_SAAR_UNUSED_UNUSED_UNUSED" hidden="1">"c6984"</definedName>
    <definedName name="IQ_IMPORTS_GOODS_SERVICES_REAL_SAAR_USD" hidden="1">"c11962"</definedName>
    <definedName name="IQ_IMPORTS_GOODS_SERVICES_REAL_SAAR_USD_APR" hidden="1">"c11965"</definedName>
    <definedName name="IQ_IMPORTS_GOODS_SERVICES_REAL_SAAR_USD_APR_FC" hidden="1">"c11969"</definedName>
    <definedName name="IQ_IMPORTS_GOODS_SERVICES_REAL_SAAR_USD_FC" hidden="1">"c11966"</definedName>
    <definedName name="IQ_IMPORTS_GOODS_SERVICES_REAL_SAAR_USD_POP" hidden="1">"c11963"</definedName>
    <definedName name="IQ_IMPORTS_GOODS_SERVICES_REAL_SAAR_USD_POP_FC" hidden="1">"c11967"</definedName>
    <definedName name="IQ_IMPORTS_GOODS_SERVICES_REAL_SAAR_USD_YOY" hidden="1">"c11964"</definedName>
    <definedName name="IQ_IMPORTS_GOODS_SERVICES_REAL_SAAR_USD_YOY_FC" hidden="1">"c11968"</definedName>
    <definedName name="IQ_IMPORTS_GOODS_SERVICES_REAL_SAAR_YOY" hidden="1">"c11960"</definedName>
    <definedName name="IQ_IMPORTS_GOODS_SERVICES_REAL_SAAR_YOY_FC_UNUSED" hidden="1">"c8304"</definedName>
    <definedName name="IQ_IMPORTS_GOODS_SERVICES_REAL_SAAR_YOY_FC_UNUSED_UNUSED_UNUSED" hidden="1">"c8304"</definedName>
    <definedName name="IQ_IMPORTS_GOODS_SERVICES_REAL_SAAR_YOY_UNUSED" hidden="1">"c7424"</definedName>
    <definedName name="IQ_IMPORTS_GOODS_SERVICES_REAL_SAAR_YOY_UNUSED_UNUSED_UNUSED" hidden="1">"c7424"</definedName>
    <definedName name="IQ_IMPORTS_GOODS_SERVICES_REAL_USD" hidden="1">"c11954"</definedName>
    <definedName name="IQ_IMPORTS_GOODS_SERVICES_REAL_USD_APR" hidden="1">"c11957"</definedName>
    <definedName name="IQ_IMPORTS_GOODS_SERVICES_REAL_USD_POP" hidden="1">"c11955"</definedName>
    <definedName name="IQ_IMPORTS_GOODS_SERVICES_REAL_USD_YOY" hidden="1">"c11956"</definedName>
    <definedName name="IQ_IMPORTS_GOODS_SERVICES_REAL_YOY" hidden="1">"c7425"</definedName>
    <definedName name="IQ_IMPORTS_GOODS_SERVICES_REAL_YOY_FC" hidden="1">"c8305"</definedName>
    <definedName name="IQ_IMPORTS_GOODS_SERVICES_SAAR" hidden="1">"c6890"</definedName>
    <definedName name="IQ_IMPORTS_GOODS_SERVICES_SAAR_APR" hidden="1">"c7550"</definedName>
    <definedName name="IQ_IMPORTS_GOODS_SERVICES_SAAR_APR_FC" hidden="1">"c8430"</definedName>
    <definedName name="IQ_IMPORTS_GOODS_SERVICES_SAAR_FC" hidden="1">"c7770"</definedName>
    <definedName name="IQ_IMPORTS_GOODS_SERVICES_SAAR_POP" hidden="1">"c7110"</definedName>
    <definedName name="IQ_IMPORTS_GOODS_SERVICES_SAAR_POP_FC" hidden="1">"c7990"</definedName>
    <definedName name="IQ_IMPORTS_GOODS_SERVICES_SAAR_YOY" hidden="1">"c7330"</definedName>
    <definedName name="IQ_IMPORTS_GOODS_SERVICES_SAAR_YOY_FC" hidden="1">"c8210"</definedName>
    <definedName name="IQ_IMPORTS_GOODS_SERVICES_UNUSED" hidden="1">"c6889"</definedName>
    <definedName name="IQ_IMPORTS_GOODS_SERVICES_UNUSED_UNUSED_UNUSED" hidden="1">"c6889"</definedName>
    <definedName name="IQ_IMPORTS_GOODS_SERVICES_USD" hidden="1">"c11842"</definedName>
    <definedName name="IQ_IMPORTS_GOODS_SERVICES_USD_APR" hidden="1">"c11845"</definedName>
    <definedName name="IQ_IMPORTS_GOODS_SERVICES_USD_POP" hidden="1">"c11843"</definedName>
    <definedName name="IQ_IMPORTS_GOODS_SERVICES_USD_YOY" hidden="1">"c11844"</definedName>
    <definedName name="IQ_IMPORTS_GOODS_SERVICES_YOY_FC_UNUSED" hidden="1">"c8209"</definedName>
    <definedName name="IQ_IMPORTS_GOODS_SERVICES_YOY_FC_UNUSED_UNUSED_UNUSED" hidden="1">"c8209"</definedName>
    <definedName name="IQ_IMPORTS_GOODS_SERVICES_YOY_UNUSED" hidden="1">"c7329"</definedName>
    <definedName name="IQ_IMPORTS_GOODS_SERVICES_YOY_UNUSED_UNUSED_UNUSED" hidden="1">"c7329"</definedName>
    <definedName name="IQ_IMPORTS_GOODS_USD_APR_FC" hidden="1">"c11841"</definedName>
    <definedName name="IQ_IMPORTS_GOODS_USD_FC" hidden="1">"c11838"</definedName>
    <definedName name="IQ_IMPORTS_GOODS_USD_POP_FC" hidden="1">"c11839"</definedName>
    <definedName name="IQ_IMPORTS_GOODS_USD_YOY_FC" hidden="1">"c11840"</definedName>
    <definedName name="IQ_IMPORTS_GOODS_YOY" hidden="1">"c7327"</definedName>
    <definedName name="IQ_IMPORTS_GOODS_YOY_FC" hidden="1">"c8207"</definedName>
    <definedName name="IQ_IMPORTS_NONFACTOR_SERVICES" hidden="1">"c6892"</definedName>
    <definedName name="IQ_IMPORTS_NONFACTOR_SERVICES_APR" hidden="1">"c7552"</definedName>
    <definedName name="IQ_IMPORTS_NONFACTOR_SERVICES_APR_FC" hidden="1">"c8432"</definedName>
    <definedName name="IQ_IMPORTS_NONFACTOR_SERVICES_FC" hidden="1">"c7772"</definedName>
    <definedName name="IQ_IMPORTS_NONFACTOR_SERVICES_POP" hidden="1">"c7112"</definedName>
    <definedName name="IQ_IMPORTS_NONFACTOR_SERVICES_POP_FC" hidden="1">"c7992"</definedName>
    <definedName name="IQ_IMPORTS_NONFACTOR_SERVICES_SAAR" hidden="1">"c6893"</definedName>
    <definedName name="IQ_IMPORTS_NONFACTOR_SERVICES_SAAR_APR" hidden="1">"c7553"</definedName>
    <definedName name="IQ_IMPORTS_NONFACTOR_SERVICES_SAAR_APR_FC" hidden="1">"c8433"</definedName>
    <definedName name="IQ_IMPORTS_NONFACTOR_SERVICES_SAAR_FC" hidden="1">"c7773"</definedName>
    <definedName name="IQ_IMPORTS_NONFACTOR_SERVICES_SAAR_POP" hidden="1">"c7113"</definedName>
    <definedName name="IQ_IMPORTS_NONFACTOR_SERVICES_SAAR_POP_FC" hidden="1">"c7993"</definedName>
    <definedName name="IQ_IMPORTS_NONFACTOR_SERVICES_SAAR_USD_APR_FC" hidden="1">"c11857"</definedName>
    <definedName name="IQ_IMPORTS_NONFACTOR_SERVICES_SAAR_USD_FC" hidden="1">"c11854"</definedName>
    <definedName name="IQ_IMPORTS_NONFACTOR_SERVICES_SAAR_USD_POP_FC" hidden="1">"c11855"</definedName>
    <definedName name="IQ_IMPORTS_NONFACTOR_SERVICES_SAAR_USD_YOY_FC" hidden="1">"c11856"</definedName>
    <definedName name="IQ_IMPORTS_NONFACTOR_SERVICES_SAAR_YOY" hidden="1">"c7333"</definedName>
    <definedName name="IQ_IMPORTS_NONFACTOR_SERVICES_SAAR_YOY_FC" hidden="1">"c8213"</definedName>
    <definedName name="IQ_IMPORTS_NONFACTOR_SERVICES_USD_APR_FC" hidden="1">"c11853"</definedName>
    <definedName name="IQ_IMPORTS_NONFACTOR_SERVICES_USD_FC" hidden="1">"c11850"</definedName>
    <definedName name="IQ_IMPORTS_NONFACTOR_SERVICES_USD_POP_FC" hidden="1">"c11851"</definedName>
    <definedName name="IQ_IMPORTS_NONFACTOR_SERVICES_USD_YOY_FC" hidden="1">"c11852"</definedName>
    <definedName name="IQ_IMPORTS_NONFACTOR_SERVICES_YOY" hidden="1">"c7332"</definedName>
    <definedName name="IQ_IMPORTS_NONFACTOR_SERVICES_YOY_FC" hidden="1">"c8212"</definedName>
    <definedName name="IQ_IMPORTS_SERVICES" hidden="1">"c11858"</definedName>
    <definedName name="IQ_IMPORTS_SERVICES_APR" hidden="1">"c11861"</definedName>
    <definedName name="IQ_IMPORTS_SERVICES_POP" hidden="1">"c11859"</definedName>
    <definedName name="IQ_IMPORTS_SERVICES_REAL" hidden="1">"c6986"</definedName>
    <definedName name="IQ_IMPORTS_SERVICES_REAL_APR" hidden="1">"c7646"</definedName>
    <definedName name="IQ_IMPORTS_SERVICES_REAL_APR_FC" hidden="1">"c8526"</definedName>
    <definedName name="IQ_IMPORTS_SERVICES_REAL_FC" hidden="1">"c7866"</definedName>
    <definedName name="IQ_IMPORTS_SERVICES_REAL_POP" hidden="1">"c7206"</definedName>
    <definedName name="IQ_IMPORTS_SERVICES_REAL_POP_FC" hidden="1">"c8086"</definedName>
    <definedName name="IQ_IMPORTS_SERVICES_REAL_YOY" hidden="1">"c7426"</definedName>
    <definedName name="IQ_IMPORTS_SERVICES_REAL_YOY_FC" hidden="1">"c8306"</definedName>
    <definedName name="IQ_IMPORTS_SERVICES_YOY" hidden="1">"c11860"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DOM_LOANS_FFIEC" hidden="1">"c12975"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" hidden="1">"c6222"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CIDENTAL_CHANGES_BUSINESS_COMBINATIONS_FDIC" hidden="1">"c6502"</definedName>
    <definedName name="IQ_INCOME_BEFORE_EXTRA_FDIC" hidden="1">"c6585"</definedName>
    <definedName name="IQ_INCOME_CHECKS_FFIEC" hidden="1">"c13040"</definedName>
    <definedName name="IQ_INCOME_EARNED_FDIC" hidden="1">"c6359"</definedName>
    <definedName name="IQ_INCOME_FIDUCIARY_ACTIVITIES_FFIEC" hidden="1">"c13002"</definedName>
    <definedName name="IQ_INCOME_LEASE_FINANCING_REC_FFIEC" hidden="1">"c12980"</definedName>
    <definedName name="IQ_INCOME_LOANS_LEASES_TAX_EXEMPT_FFIEC" hidden="1">"c13038"</definedName>
    <definedName name="IQ_INCOME_OTHER_INSURANCE_ACTIVITIES_FFIEC" hidden="1">"c13009"</definedName>
    <definedName name="IQ_INCOME_SALE_MUTUAL_FUNDS_DOM_FFIEC" hidden="1">"c13069"</definedName>
    <definedName name="IQ_INCOME_SECURITIES_TAX_EXEMPT_FFIEC" hidden="1">"c13039"</definedName>
    <definedName name="IQ_INCOME_TAXES_FDIC" hidden="1">"c6582"</definedName>
    <definedName name="IQ_INCOME_TAXES_FFIEC" hidden="1">"c13030"</definedName>
    <definedName name="IQ_INCREASE_INT_INCOME_FFIEC" hidden="1">"c13063"</definedName>
    <definedName name="IQ_INDEX_LEADING_IND" hidden="1">"c6894"</definedName>
    <definedName name="IQ_INDEX_LEADING_IND_APR" hidden="1">"c7554"</definedName>
    <definedName name="IQ_INDEX_LEADING_IND_APR_FC" hidden="1">"c8434"</definedName>
    <definedName name="IQ_INDEX_LEADING_IND_FC" hidden="1">"c7774"</definedName>
    <definedName name="IQ_INDEX_LEADING_IND_POP" hidden="1">"c7114"</definedName>
    <definedName name="IQ_INDEX_LEADING_IND_POP_FC" hidden="1">"c7994"</definedName>
    <definedName name="IQ_INDEX_LEADING_IND_YOY" hidden="1">"c7334"</definedName>
    <definedName name="IQ_INDEX_LEADING_IND_YOY_FC" hidden="1">"c8214"</definedName>
    <definedName name="IQ_INDICATED_ATTRIB_ORE_RESOURCES_ALUM" hidden="1">"c9238"</definedName>
    <definedName name="IQ_INDICATED_ATTRIB_ORE_RESOURCES_COP" hidden="1">"c9182"</definedName>
    <definedName name="IQ_INDICATED_ATTRIB_ORE_RESOURCES_DIAM" hidden="1">"c9662"</definedName>
    <definedName name="IQ_INDICATED_ATTRIB_ORE_RESOURCES_GOLD" hidden="1">"c9023"</definedName>
    <definedName name="IQ_INDICATED_ATTRIB_ORE_RESOURCES_IRON" hidden="1">"c9397"</definedName>
    <definedName name="IQ_INDICATED_ATTRIB_ORE_RESOURCES_LEAD" hidden="1">"c9450"</definedName>
    <definedName name="IQ_INDICATED_ATTRIB_ORE_RESOURCES_MANG" hidden="1">"c9503"</definedName>
    <definedName name="IQ_INDICATED_ATTRIB_ORE_RESOURCES_MOLYB" hidden="1">"c9715"</definedName>
    <definedName name="IQ_INDICATED_ATTRIB_ORE_RESOURCES_NICK" hidden="1">"c9291"</definedName>
    <definedName name="IQ_INDICATED_ATTRIB_ORE_RESOURCES_PLAT" hidden="1">"c9129"</definedName>
    <definedName name="IQ_INDICATED_ATTRIB_ORE_RESOURCES_SILVER" hidden="1">"c9076"</definedName>
    <definedName name="IQ_INDICATED_ATTRIB_ORE_RESOURCES_TITAN" hidden="1">"c9556"</definedName>
    <definedName name="IQ_INDICATED_ATTRIB_ORE_RESOURCES_URAN" hidden="1">"c9609"</definedName>
    <definedName name="IQ_INDICATED_ATTRIB_ORE_RESOURCES_ZINC" hidden="1">"c9344"</definedName>
    <definedName name="IQ_INDICATED_ORE_RESOURCES_ALUM" hidden="1">"c9224"</definedName>
    <definedName name="IQ_INDICATED_ORE_RESOURCES_COP" hidden="1">"c9168"</definedName>
    <definedName name="IQ_INDICATED_ORE_RESOURCES_DIAM" hidden="1">"c9648"</definedName>
    <definedName name="IQ_INDICATED_ORE_RESOURCES_GOLD" hidden="1">"c9009"</definedName>
    <definedName name="IQ_INDICATED_ORE_RESOURCES_IRON" hidden="1">"c9383"</definedName>
    <definedName name="IQ_INDICATED_ORE_RESOURCES_LEAD" hidden="1">"c9436"</definedName>
    <definedName name="IQ_INDICATED_ORE_RESOURCES_MANG" hidden="1">"c9489"</definedName>
    <definedName name="IQ_INDICATED_ORE_RESOURCES_MOLYB" hidden="1">"c9701"</definedName>
    <definedName name="IQ_INDICATED_ORE_RESOURCES_NICK" hidden="1">"c9277"</definedName>
    <definedName name="IQ_INDICATED_ORE_RESOURCES_PLAT" hidden="1">"c9115"</definedName>
    <definedName name="IQ_INDICATED_ORE_RESOURCES_SILVER" hidden="1">"c9062"</definedName>
    <definedName name="IQ_INDICATED_ORE_RESOURCES_TITAN" hidden="1">"c9542"</definedName>
    <definedName name="IQ_INDICATED_ORE_RESOURCES_URAN" hidden="1">"c9595"</definedName>
    <definedName name="IQ_INDICATED_ORE_RESOURCES_ZINC" hidden="1">"c9330"</definedName>
    <definedName name="IQ_INDICATED_RECOV_ATTRIB_RESOURCES_ALUM" hidden="1">"c9243"</definedName>
    <definedName name="IQ_INDICATED_RECOV_ATTRIB_RESOURCES_COAL" hidden="1">"c9817"</definedName>
    <definedName name="IQ_INDICATED_RECOV_ATTRIB_RESOURCES_COP" hidden="1">"c9187"</definedName>
    <definedName name="IQ_INDICATED_RECOV_ATTRIB_RESOURCES_DIAM" hidden="1">"c9667"</definedName>
    <definedName name="IQ_INDICATED_RECOV_ATTRIB_RESOURCES_GOLD" hidden="1">"c9028"</definedName>
    <definedName name="IQ_INDICATED_RECOV_ATTRIB_RESOURCES_IRON" hidden="1">"c9402"</definedName>
    <definedName name="IQ_INDICATED_RECOV_ATTRIB_RESOURCES_LEAD" hidden="1">"c9455"</definedName>
    <definedName name="IQ_INDICATED_RECOV_ATTRIB_RESOURCES_MANG" hidden="1">"c9508"</definedName>
    <definedName name="IQ_INDICATED_RECOV_ATTRIB_RESOURCES_MET_COAL" hidden="1">"c9757"</definedName>
    <definedName name="IQ_INDICATED_RECOV_ATTRIB_RESOURCES_MOLYB" hidden="1">"c9720"</definedName>
    <definedName name="IQ_INDICATED_RECOV_ATTRIB_RESOURCES_NICK" hidden="1">"c9296"</definedName>
    <definedName name="IQ_INDICATED_RECOV_ATTRIB_RESOURCES_PLAT" hidden="1">"c9134"</definedName>
    <definedName name="IQ_INDICATED_RECOV_ATTRIB_RESOURCES_SILVER" hidden="1">"c9081"</definedName>
    <definedName name="IQ_INDICATED_RECOV_ATTRIB_RESOURCES_STEAM" hidden="1">"c9787"</definedName>
    <definedName name="IQ_INDICATED_RECOV_ATTRIB_RESOURCES_TITAN" hidden="1">"c9561"</definedName>
    <definedName name="IQ_INDICATED_RECOV_ATTRIB_RESOURCES_URAN" hidden="1">"c9614"</definedName>
    <definedName name="IQ_INDICATED_RECOV_ATTRIB_RESOURCES_ZINC" hidden="1">"c9349"</definedName>
    <definedName name="IQ_INDICATED_RECOV_RESOURCES_ALUM" hidden="1">"c9233"</definedName>
    <definedName name="IQ_INDICATED_RECOV_RESOURCES_COAL" hidden="1">"c9812"</definedName>
    <definedName name="IQ_INDICATED_RECOV_RESOURCES_COP" hidden="1">"c9177"</definedName>
    <definedName name="IQ_INDICATED_RECOV_RESOURCES_DIAM" hidden="1">"c9657"</definedName>
    <definedName name="IQ_INDICATED_RECOV_RESOURCES_GOLD" hidden="1">"c9018"</definedName>
    <definedName name="IQ_INDICATED_RECOV_RESOURCES_IRON" hidden="1">"c9392"</definedName>
    <definedName name="IQ_INDICATED_RECOV_RESOURCES_LEAD" hidden="1">"c9445"</definedName>
    <definedName name="IQ_INDICATED_RECOV_RESOURCES_MANG" hidden="1">"c9498"</definedName>
    <definedName name="IQ_INDICATED_RECOV_RESOURCES_MET_COAL" hidden="1">"c9752"</definedName>
    <definedName name="IQ_INDICATED_RECOV_RESOURCES_MOLYB" hidden="1">"c9710"</definedName>
    <definedName name="IQ_INDICATED_RECOV_RESOURCES_NICK" hidden="1">"c9286"</definedName>
    <definedName name="IQ_INDICATED_RECOV_RESOURCES_PLAT" hidden="1">"c9124"</definedName>
    <definedName name="IQ_INDICATED_RECOV_RESOURCES_SILVER" hidden="1">"c9071"</definedName>
    <definedName name="IQ_INDICATED_RECOV_RESOURCES_STEAM" hidden="1">"c9782"</definedName>
    <definedName name="IQ_INDICATED_RECOV_RESOURCES_TITAN" hidden="1">"c9551"</definedName>
    <definedName name="IQ_INDICATED_RECOV_RESOURCES_URAN" hidden="1">"c9604"</definedName>
    <definedName name="IQ_INDICATED_RECOV_RESOURCES_ZINC" hidden="1">"c9339"</definedName>
    <definedName name="IQ_INDICATED_RESOURCES_CALORIFIC_VALUE_COAL" hidden="1">"c9807"</definedName>
    <definedName name="IQ_INDICATED_RESOURCES_CALORIFIC_VALUE_MET_COAL" hidden="1">"c9747"</definedName>
    <definedName name="IQ_INDICATED_RESOURCES_CALORIFIC_VALUE_STEAM" hidden="1">"c9777"</definedName>
    <definedName name="IQ_INDICATED_RESOURCES_GRADE_ALUM" hidden="1">"c9225"</definedName>
    <definedName name="IQ_INDICATED_RESOURCES_GRADE_COP" hidden="1">"c9169"</definedName>
    <definedName name="IQ_INDICATED_RESOURCES_GRADE_DIAM" hidden="1">"c9649"</definedName>
    <definedName name="IQ_INDICATED_RESOURCES_GRADE_GOLD" hidden="1">"c9010"</definedName>
    <definedName name="IQ_INDICATED_RESOURCES_GRADE_IRON" hidden="1">"c9384"</definedName>
    <definedName name="IQ_INDICATED_RESOURCES_GRADE_LEAD" hidden="1">"c9437"</definedName>
    <definedName name="IQ_INDICATED_RESOURCES_GRADE_MANG" hidden="1">"c9490"</definedName>
    <definedName name="IQ_INDICATED_RESOURCES_GRADE_MOLYB" hidden="1">"c9702"</definedName>
    <definedName name="IQ_INDICATED_RESOURCES_GRADE_NICK" hidden="1">"c9278"</definedName>
    <definedName name="IQ_INDICATED_RESOURCES_GRADE_PLAT" hidden="1">"c9116"</definedName>
    <definedName name="IQ_INDICATED_RESOURCES_GRADE_SILVER" hidden="1">"c9063"</definedName>
    <definedName name="IQ_INDICATED_RESOURCES_GRADE_TITAN" hidden="1">"c9543"</definedName>
    <definedName name="IQ_INDICATED_RESOURCES_GRADE_URAN" hidden="1">"c9596"</definedName>
    <definedName name="IQ_INDICATED_RESOURCES_GRADE_ZINC" hidden="1">"c9331"</definedName>
    <definedName name="IQ_INDIVIDUALS_CHARGE_OFFS_FDIC" hidden="1">"c6599"</definedName>
    <definedName name="IQ_INDIVIDUALS_GROSS_LOANS_FFIEC" hidden="1">"c13411"</definedName>
    <definedName name="IQ_INDIVIDUALS_LOANS_FDIC" hidden="1">"c6318"</definedName>
    <definedName name="IQ_INDIVIDUALS_NET_CHARGE_OFFS_FDIC" hidden="1">"c6637"</definedName>
    <definedName name="IQ_INDIVIDUALS_OTHER_LOANS_FDIC" hidden="1">"c6321"</definedName>
    <definedName name="IQ_INDIVIDUALS_PARTNERSHIPS_CORP_DEPOSITS_FOREIGN_FDIC" hidden="1">"c6479"</definedName>
    <definedName name="IQ_INDIVIDUALS_PARTNERSHIPS_CORP_NONTRANSACTION_ACCOUNTS_FDIC" hidden="1">"c6545"</definedName>
    <definedName name="IQ_INDIVIDUALS_PARTNERSHIPS_CORP_TOTAL_DEPOSITS_FDIC" hidden="1">"c6471"</definedName>
    <definedName name="IQ_INDIVIDUALS_PARTNERSHIPS_CORP_TRANSACTION_ACCOUNTS_FDIC" hidden="1">"c6537"</definedName>
    <definedName name="IQ_INDIVIDUALS_RECOVERIES_FDIC" hidden="1">"c6618"</definedName>
    <definedName name="IQ_INDIVIDUALS_RISK_BASED_FFIEC" hidden="1">"c13432"</definedName>
    <definedName name="IQ_INDUSTRIAL_PROD" hidden="1">"c6895"</definedName>
    <definedName name="IQ_INDUSTRIAL_PROD_APR" hidden="1">"c7555"</definedName>
    <definedName name="IQ_INDUSTRIAL_PROD_APR_FC" hidden="1">"c8435"</definedName>
    <definedName name="IQ_INDUSTRIAL_PROD_FC" hidden="1">"c7775"</definedName>
    <definedName name="IQ_INDUSTRIAL_PROD_POP" hidden="1">"c7115"</definedName>
    <definedName name="IQ_INDUSTRIAL_PROD_POP_FC" hidden="1">"c7995"</definedName>
    <definedName name="IQ_INDUSTRIAL_PROD_YOY" hidden="1">"c7335"</definedName>
    <definedName name="IQ_INDUSTRIAL_PROD_YOY_FC" hidden="1">"c8215"</definedName>
    <definedName name="IQ_INDUSTRY" hidden="1">"c3601"</definedName>
    <definedName name="IQ_INDUSTRY_GROUP" hidden="1">"c3602"</definedName>
    <definedName name="IQ_INDUSTRY_SECTOR" hidden="1">"c3603"</definedName>
    <definedName name="IQ_INFERRED_ATTRIB_ORE_RESOURCES_ALUM" hidden="1">"c9240"</definedName>
    <definedName name="IQ_INFERRED_ATTRIB_ORE_RESOURCES_COP" hidden="1">"c9184"</definedName>
    <definedName name="IQ_INFERRED_ATTRIB_ORE_RESOURCES_DIAM" hidden="1">"c9664"</definedName>
    <definedName name="IQ_INFERRED_ATTRIB_ORE_RESOURCES_GOLD" hidden="1">"c9025"</definedName>
    <definedName name="IQ_INFERRED_ATTRIB_ORE_RESOURCES_IRON" hidden="1">"c9399"</definedName>
    <definedName name="IQ_INFERRED_ATTRIB_ORE_RESOURCES_LEAD" hidden="1">"c9452"</definedName>
    <definedName name="IQ_INFERRED_ATTRIB_ORE_RESOURCES_MANG" hidden="1">"c9505"</definedName>
    <definedName name="IQ_INFERRED_ATTRIB_ORE_RESOURCES_MOLYB" hidden="1">"c9717"</definedName>
    <definedName name="IQ_INFERRED_ATTRIB_ORE_RESOURCES_NICK" hidden="1">"c9293"</definedName>
    <definedName name="IQ_INFERRED_ATTRIB_ORE_RESOURCES_PLAT" hidden="1">"c9131"</definedName>
    <definedName name="IQ_INFERRED_ATTRIB_ORE_RESOURCES_SILVER" hidden="1">"c9078"</definedName>
    <definedName name="IQ_INFERRED_ATTRIB_ORE_RESOURCES_TITAN" hidden="1">"c9558"</definedName>
    <definedName name="IQ_INFERRED_ATTRIB_ORE_RESOURCES_URAN" hidden="1">"c9611"</definedName>
    <definedName name="IQ_INFERRED_ATTRIB_ORE_RESOURCES_ZINC" hidden="1">"c9346"</definedName>
    <definedName name="IQ_INFERRED_ORE_RESOURCES_ALUM" hidden="1">"c9228"</definedName>
    <definedName name="IQ_INFERRED_ORE_RESOURCES_COP" hidden="1">"c9172"</definedName>
    <definedName name="IQ_INFERRED_ORE_RESOURCES_DIAM" hidden="1">"c9652"</definedName>
    <definedName name="IQ_INFERRED_ORE_RESOURCES_GOLD" hidden="1">"c9013"</definedName>
    <definedName name="IQ_INFERRED_ORE_RESOURCES_IRON" hidden="1">"c9387"</definedName>
    <definedName name="IQ_INFERRED_ORE_RESOURCES_LEAD" hidden="1">"c9440"</definedName>
    <definedName name="IQ_INFERRED_ORE_RESOURCES_MANG" hidden="1">"c9493"</definedName>
    <definedName name="IQ_INFERRED_ORE_RESOURCES_MOLYB" hidden="1">"c9705"</definedName>
    <definedName name="IQ_INFERRED_ORE_RESOURCES_NICK" hidden="1">"c9281"</definedName>
    <definedName name="IQ_INFERRED_ORE_RESOURCES_PLAT" hidden="1">"c9119"</definedName>
    <definedName name="IQ_INFERRED_ORE_RESOURCES_SILVER" hidden="1">"c9066"</definedName>
    <definedName name="IQ_INFERRED_ORE_RESOURCES_TITAN" hidden="1">"c9546"</definedName>
    <definedName name="IQ_INFERRED_ORE_RESOURCES_URAN" hidden="1">"c9599"</definedName>
    <definedName name="IQ_INFERRED_ORE_RESOURCES_ZINC" hidden="1">"c9334"</definedName>
    <definedName name="IQ_INFERRED_RECOV_ATTRIB_RESOURCES_ALUM" hidden="1">"c9245"</definedName>
    <definedName name="IQ_INFERRED_RECOV_ATTRIB_RESOURCES_COAL" hidden="1">"c9819"</definedName>
    <definedName name="IQ_INFERRED_RECOV_ATTRIB_RESOURCES_COP" hidden="1">"c9189"</definedName>
    <definedName name="IQ_INFERRED_RECOV_ATTRIB_RESOURCES_DIAM" hidden="1">"c9669"</definedName>
    <definedName name="IQ_INFERRED_RECOV_ATTRIB_RESOURCES_GOLD" hidden="1">"c9030"</definedName>
    <definedName name="IQ_INFERRED_RECOV_ATTRIB_RESOURCES_IRON" hidden="1">"c9404"</definedName>
    <definedName name="IQ_INFERRED_RECOV_ATTRIB_RESOURCES_LEAD" hidden="1">"c9457"</definedName>
    <definedName name="IQ_INFERRED_RECOV_ATTRIB_RESOURCES_MANG" hidden="1">"c9510"</definedName>
    <definedName name="IQ_INFERRED_RECOV_ATTRIB_RESOURCES_MET_COAL" hidden="1">"c9759"</definedName>
    <definedName name="IQ_INFERRED_RECOV_ATTRIB_RESOURCES_MOLYB" hidden="1">"c9722"</definedName>
    <definedName name="IQ_INFERRED_RECOV_ATTRIB_RESOURCES_NICK" hidden="1">"c9298"</definedName>
    <definedName name="IQ_INFERRED_RECOV_ATTRIB_RESOURCES_PLAT" hidden="1">"c9136"</definedName>
    <definedName name="IQ_INFERRED_RECOV_ATTRIB_RESOURCES_SILVER" hidden="1">"c9083"</definedName>
    <definedName name="IQ_INFERRED_RECOV_ATTRIB_RESOURCES_STEAM" hidden="1">"c9789"</definedName>
    <definedName name="IQ_INFERRED_RECOV_ATTRIB_RESOURCES_TITAN" hidden="1">"c9563"</definedName>
    <definedName name="IQ_INFERRED_RECOV_ATTRIB_RESOURCES_URAN" hidden="1">"c9616"</definedName>
    <definedName name="IQ_INFERRED_RECOV_ATTRIB_RESOURCES_ZINC" hidden="1">"c9351"</definedName>
    <definedName name="IQ_INFERRED_RECOV_RESOURCES_ALUM" hidden="1">"c9235"</definedName>
    <definedName name="IQ_INFERRED_RECOV_RESOURCES_COAL" hidden="1">"c9814"</definedName>
    <definedName name="IQ_INFERRED_RECOV_RESOURCES_COP" hidden="1">"c9179"</definedName>
    <definedName name="IQ_INFERRED_RECOV_RESOURCES_DIAM" hidden="1">"c9659"</definedName>
    <definedName name="IQ_INFERRED_RECOV_RESOURCES_GOLD" hidden="1">"c9020"</definedName>
    <definedName name="IQ_INFERRED_RECOV_RESOURCES_IRON" hidden="1">"c9394"</definedName>
    <definedName name="IQ_INFERRED_RECOV_RESOURCES_LEAD" hidden="1">"c9447"</definedName>
    <definedName name="IQ_INFERRED_RECOV_RESOURCES_MANG" hidden="1">"c9500"</definedName>
    <definedName name="IQ_INFERRED_RECOV_RESOURCES_MET_COAL" hidden="1">"c9754"</definedName>
    <definedName name="IQ_INFERRED_RECOV_RESOURCES_MOLYB" hidden="1">"c9712"</definedName>
    <definedName name="IQ_INFERRED_RECOV_RESOURCES_NICK" hidden="1">"c9288"</definedName>
    <definedName name="IQ_INFERRED_RECOV_RESOURCES_PLAT" hidden="1">"c9126"</definedName>
    <definedName name="IQ_INFERRED_RECOV_RESOURCES_SILVER" hidden="1">"c9073"</definedName>
    <definedName name="IQ_INFERRED_RECOV_RESOURCES_STEAM" hidden="1">"c9784"</definedName>
    <definedName name="IQ_INFERRED_RECOV_RESOURCES_TITAN" hidden="1">"c9553"</definedName>
    <definedName name="IQ_INFERRED_RECOV_RESOURCES_URAN" hidden="1">"c9606"</definedName>
    <definedName name="IQ_INFERRED_RECOV_RESOURCES_ZINC" hidden="1">"c9341"</definedName>
    <definedName name="IQ_INFERRED_RESOURCES_CALORIFIC_VALUE_COAL" hidden="1">"c9809"</definedName>
    <definedName name="IQ_INFERRED_RESOURCES_CALORIFIC_VALUE_MET_COAL" hidden="1">"c9749"</definedName>
    <definedName name="IQ_INFERRED_RESOURCES_CALORIFIC_VALUE_STEAM" hidden="1">"c9779"</definedName>
    <definedName name="IQ_INFERRED_RESOURCES_GRADE_ALUM" hidden="1">"c9229"</definedName>
    <definedName name="IQ_INFERRED_RESOURCES_GRADE_COP" hidden="1">"c9173"</definedName>
    <definedName name="IQ_INFERRED_RESOURCES_GRADE_DIAM" hidden="1">"c9653"</definedName>
    <definedName name="IQ_INFERRED_RESOURCES_GRADE_GOLD" hidden="1">"c9014"</definedName>
    <definedName name="IQ_INFERRED_RESOURCES_GRADE_IRON" hidden="1">"c9388"</definedName>
    <definedName name="IQ_INFERRED_RESOURCES_GRADE_LEAD" hidden="1">"c9441"</definedName>
    <definedName name="IQ_INFERRED_RESOURCES_GRADE_MANG" hidden="1">"c9494"</definedName>
    <definedName name="IQ_INFERRED_RESOURCES_GRADE_MOLYB" hidden="1">"c9706"</definedName>
    <definedName name="IQ_INFERRED_RESOURCES_GRADE_NICK" hidden="1">"c9282"</definedName>
    <definedName name="IQ_INFERRED_RESOURCES_GRADE_PLAT" hidden="1">"c9120"</definedName>
    <definedName name="IQ_INFERRED_RESOURCES_GRADE_SILVER" hidden="1">"c9067"</definedName>
    <definedName name="IQ_INFERRED_RESOURCES_GRADE_TITAN" hidden="1">"c9547"</definedName>
    <definedName name="IQ_INFERRED_RESOURCES_GRADE_URAN" hidden="1">"c9600"</definedName>
    <definedName name="IQ_INFERRED_RESOURCES_GRADE_ZINC" hidden="1">"c9335"</definedName>
    <definedName name="IQ_INFLATION_RATE" hidden="1">"c6899"</definedName>
    <definedName name="IQ_INFLATION_RATE_CORE" hidden="1">"c11783"</definedName>
    <definedName name="IQ_INFLATION_RATE_CORE_POP" hidden="1">"c11784"</definedName>
    <definedName name="IQ_INFLATION_RATE_CORE_YOY" hidden="1">"c11785"</definedName>
    <definedName name="IQ_INFLATION_RATE_FC" hidden="1">"c7779"</definedName>
    <definedName name="IQ_INFLATION_RATE_POP" hidden="1">"c7119"</definedName>
    <definedName name="IQ_INFLATION_RATE_POP_FC" hidden="1">"c7999"</definedName>
    <definedName name="IQ_INFLATION_RATE_YOY" hidden="1">"c7339"</definedName>
    <definedName name="IQ_INFLATION_RATE_YOY_FC" hidden="1">"c8219"</definedName>
    <definedName name="IQ_INITIAL_CLAIMS" hidden="1">"c6900"</definedName>
    <definedName name="IQ_INITIAL_CLAIMS_APR" hidden="1">"c7560"</definedName>
    <definedName name="IQ_INITIAL_CLAIMS_APR_FC" hidden="1">"c8440"</definedName>
    <definedName name="IQ_INITIAL_CLAIMS_FC" hidden="1">"c7780"</definedName>
    <definedName name="IQ_INITIAL_CLAIMS_POP" hidden="1">"c7120"</definedName>
    <definedName name="IQ_INITIAL_CLAIMS_POP_FC" hidden="1">"c8000"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" hidden="1">"c6223"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LOANS_FDIC" hidden="1">"c6365"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_DEPOSITS" hidden="1">"c89"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TITUTIONS_EARNINGS_GAINS_FDIC" hidden="1">"c6723"</definedName>
    <definedName name="IQ_INSUR_RECEIV" hidden="1">"c1600"</definedName>
    <definedName name="IQ_INSURANCE_COMMISSION_FEES_FDIC" hidden="1">"c6670"</definedName>
    <definedName name="IQ_INSURANCE_REINSURANCE_UNDERWRITING_INCOME_FFIEC" hidden="1">"c13008"</definedName>
    <definedName name="IQ_INSURANCE_REV_OPERATING_INC_FFIEC" hidden="1">"c13387"</definedName>
    <definedName name="IQ_INSURANCE_UNDERWRITING_INCOME_FDIC" hidden="1">"c6671"</definedName>
    <definedName name="IQ_INT_BEARING_DEPOSITS" hidden="1">"c1166"</definedName>
    <definedName name="IQ_INT_BEARING_FUNDS_AVG_ASSETS_FFIEC" hidden="1">"c13355"</definedName>
    <definedName name="IQ_INT_BEARING_LIABILITIES_REPRICE_ASSETS_TOT_FFIEC" hidden="1">"c13452"</definedName>
    <definedName name="IQ_INT_BORROW" hidden="1">"c583"</definedName>
    <definedName name="IQ_INT_DEMAND_NOTES_FDIC" hidden="1">"c6567"</definedName>
    <definedName name="IQ_INT_DEPOSITS" hidden="1">"c584"</definedName>
    <definedName name="IQ_INT_DEPOSITS_DOM_FFIEC" hidden="1">"c12852"</definedName>
    <definedName name="IQ_INT_DEPOSITS_DOM_QUARTERLY_AVG_FFIEC" hidden="1">"c13088"</definedName>
    <definedName name="IQ_INT_DEPOSITS_FOREIGN_FFIEC" hidden="1">"c12855"</definedName>
    <definedName name="IQ_INT_DEPOSITS_FOREIGN_QUARTERLY_AVG_FFIEC" hidden="1">"c13089"</definedName>
    <definedName name="IQ_INT_DIV_INC" hidden="1">"c585"</definedName>
    <definedName name="IQ_INT_DIV_INC_MBS_FFIEC" hidden="1">"c12984"</definedName>
    <definedName name="IQ_INT_DIV_INC_SECURITIES_FFIEC" hidden="1">"c12982"</definedName>
    <definedName name="IQ_INT_DIV_INC_SECURITIES_OTHER_FFIEC" hidden="1">"c12985"</definedName>
    <definedName name="IQ_INT_DIV_INC_TREASURY_SECURITIES_FFIEC" hidden="1">"c12983"</definedName>
    <definedName name="IQ_INT_DOMESTIC_DEPOSITS_FDIC" hidden="1">"c6564"</definedName>
    <definedName name="IQ_INT_EXP_AVG_ASSETS_FFIEC" hidden="1">"c13357"</definedName>
    <definedName name="IQ_INT_EXP_BR" hidden="1">"c586"</definedName>
    <definedName name="IQ_INT_EXP_COVERAGE" hidden="1">"c587"</definedName>
    <definedName name="IQ_INT_EXP_EARNING_ASSETS_FFIEC" hidden="1">"c13376"</definedName>
    <definedName name="IQ_INT_EXP_FED_FUNDS_PURCHASED_FFIEC" hidden="1">"c12996"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" hidden="1">"c6224"</definedName>
    <definedName name="IQ_INT_EXP_REIT" hidden="1">"c590"</definedName>
    <definedName name="IQ_INT_EXP_TOTAL" hidden="1">"c591"</definedName>
    <definedName name="IQ_INT_EXP_TOTAL_BNK_SUBTOTAL_AP" hidden="1">"c8977"</definedName>
    <definedName name="IQ_INT_EXP_TOTAL_FDIC" hidden="1">"c6569"</definedName>
    <definedName name="IQ_INT_EXP_UTI" hidden="1">"c592"</definedName>
    <definedName name="IQ_INT_FED_FUNDS_FDIC" hidden="1">"c6566"</definedName>
    <definedName name="IQ_INT_FEE_INC_LOANS_1_4_DOM_FFIEC" hidden="1">"c12976"</definedName>
    <definedName name="IQ_INT_FEE_INC_LOANS_DOM_FFIEC" hidden="1">"c13335"</definedName>
    <definedName name="IQ_INT_FEE_INC_LOANS_FOREIGN_FFIEC" hidden="1">"c12979"</definedName>
    <definedName name="IQ_INT_FEE_INC_LOANS_OTHER_DOM_FFIEC" hidden="1">"c12978"</definedName>
    <definedName name="IQ_INT_FEE_INC_SECURED_RE_DOM_FFIEC" hidden="1">"c12977"</definedName>
    <definedName name="IQ_INT_FEE_INCOME_FFIEC" hidden="1">"c12974"</definedName>
    <definedName name="IQ_INT_FOREIGN_DEPOSITS_FDIC" hidden="1">"c6565"</definedName>
    <definedName name="IQ_INT_INC_AVG_ASSETS_FFIEC" hidden="1">"c13356"</definedName>
    <definedName name="IQ_INT_INC_BR" hidden="1">"c593"</definedName>
    <definedName name="IQ_INT_INC_DEPOSITORY_INST_FDIC" hidden="1">"c6558"</definedName>
    <definedName name="IQ_INT_INC_DOM_LOANS_FDIC" hidden="1">"c6555"</definedName>
    <definedName name="IQ_INT_INC_DUE_DEPOSITORY_INSTITUTIONS_FFIEC" hidden="1">"c12981"</definedName>
    <definedName name="IQ_INT_INC_EARNING_ASSETS_FFIEC" hidden="1">"c13375"</definedName>
    <definedName name="IQ_INT_INC_FED_FUNDS_FDIC" hidden="1">"c6561"</definedName>
    <definedName name="IQ_INT_INC_FED_FUNDS_SOLD_FFIEC" hidden="1">"c12987"</definedName>
    <definedName name="IQ_INT_INC_FIN" hidden="1">"c594"</definedName>
    <definedName name="IQ_INT_INC_FOREIGN_LOANS_FDIC" hidden="1">"c6556"</definedName>
    <definedName name="IQ_INT_INC_INVEST" hidden="1">"c595"</definedName>
    <definedName name="IQ_INT_INC_LEASE_RECEIVABLES_FDIC" hidden="1">"c6557"</definedName>
    <definedName name="IQ_INT_INC_LOANS" hidden="1">"c596"</definedName>
    <definedName name="IQ_INT_INC_OTHER_FDIC" hidden="1">"c6562"</definedName>
    <definedName name="IQ_INT_INC_RE" hidden="1">"c6225"</definedName>
    <definedName name="IQ_INT_INC_REIT" hidden="1">"c597"</definedName>
    <definedName name="IQ_INT_INC_SECURITIES_FDIC" hidden="1">"c6559"</definedName>
    <definedName name="IQ_INT_INC_TE_AVG_ASSETS_FFIEC" hidden="1">"c13358"</definedName>
    <definedName name="IQ_INT_INC_TE_EARNING_ASSETS_FFIEC" hidden="1">"c13377"</definedName>
    <definedName name="IQ_INT_INC_TOTAL" hidden="1">"c598"</definedName>
    <definedName name="IQ_INT_INC_TOTAL_BNK_SUBTOTAL_AP" hidden="1">"c8976"</definedName>
    <definedName name="IQ_INT_INC_TOTAL_FDIC" hidden="1">"c6563"</definedName>
    <definedName name="IQ_INT_INC_TRADING_ACCOUNTS_FDIC" hidden="1">"c6560"</definedName>
    <definedName name="IQ_INT_INC_TRADING_ASSETS_FFIEC" hidden="1">"c12986"</definedName>
    <definedName name="IQ_INT_INC_UTI" hidden="1">"c599"</definedName>
    <definedName name="IQ_INT_INV_INC" hidden="1">"c600"</definedName>
    <definedName name="IQ_INT_INV_INC_RE" hidden="1">"c6226"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ON_DEPOSITS_DOM_FFIEC" hidden="1">"c12991"</definedName>
    <definedName name="IQ_INT_ON_DEPOSITS_FFIEC" hidden="1">"c12990"</definedName>
    <definedName name="IQ_INT_ON_DEPOSITS_FOREIGN_FFIEC" hidden="1">"c12995"</definedName>
    <definedName name="IQ_INT_RATE_EXPOSURE_FFIEC" hidden="1">"c13058"</definedName>
    <definedName name="IQ_INT_RATE_SPREAD" hidden="1">"c604"</definedName>
    <definedName name="IQ_INT_SUB_NOTES_FDIC" hidden="1">"c6568"</definedName>
    <definedName name="IQ_INT_SUB_NOTES_FFIEC" hidden="1">"c12998"</definedName>
    <definedName name="IQ_INT_TIME_DEPOSITS_LESS_THAN_100K_DOM_FFIEC" hidden="1">"c12993"</definedName>
    <definedName name="IQ_INT_TIME_DEPOSITS_MORE_THAN_100K_DOM_FFIEC" hidden="1">"c12992"</definedName>
    <definedName name="IQ_INT_TRADING_LIABILITIES_FFIEC" hidden="1">"c12997"</definedName>
    <definedName name="IQ_INTANGIBLES_NET" hidden="1">"c1407"</definedName>
    <definedName name="IQ_INTEREST_BEARING_BALANCES_FDIC" hidden="1">"c6371"</definedName>
    <definedName name="IQ_INTEREST_BEARING_CASH_FOREIGN_FFIEC" hidden="1">"c12776"</definedName>
    <definedName name="IQ_INTEREST_BEARING_CASH_US_FFIEC" hidden="1">"c12775"</definedName>
    <definedName name="IQ_INTEREST_BEARING_DEPOSITS_DOMESTIC_FDIC" hidden="1">"c6478"</definedName>
    <definedName name="IQ_INTEREST_BEARING_DEPOSITS_FDIC" hidden="1">"c6373"</definedName>
    <definedName name="IQ_INTEREST_BEARING_DEPOSITS_FOREIGN_FDIC" hidden="1">"c6485"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10K" hidden="1">"IQ_INTEREST_INC_10K"</definedName>
    <definedName name="IQ_INTEREST_INC_10Q" hidden="1">"IQ_INTEREST_INC_10Q"</definedName>
    <definedName name="IQ_INTEREST_INC_10Q1" hidden="1">"IQ_INTEREST_INC_10Q1"</definedName>
    <definedName name="IQ_INTEREST_INC_NON" hidden="1">"c1384"</definedName>
    <definedName name="IQ_INTEREST_INVEST_INC" hidden="1">"c619"</definedName>
    <definedName name="IQ_INTEREST_RATE_CONTRACTS_FDIC" hidden="1">"c6512"</definedName>
    <definedName name="IQ_INTEREST_RATE_EXPOSURES_FDIC" hidden="1">"c6662"</definedName>
    <definedName name="IQ_INV_10YR_ANN_CAGR" hidden="1">"c6164"</definedName>
    <definedName name="IQ_INV_10YR_ANN_GROWTH" hidden="1">"c1930"</definedName>
    <definedName name="IQ_INV_1YR_ANN_GROWTH" hidden="1">"c1925"</definedName>
    <definedName name="IQ_INV_2YR_ANN_CAGR" hidden="1">"c6160"</definedName>
    <definedName name="IQ_INV_2YR_ANN_GROWTH" hidden="1">"c1926"</definedName>
    <definedName name="IQ_INV_3YR_ANN_CAGR" hidden="1">"c6161"</definedName>
    <definedName name="IQ_INV_3YR_ANN_GROWTH" hidden="1">"c1927"</definedName>
    <definedName name="IQ_INV_5YR_ANN_CAGR" hidden="1">"c6162"</definedName>
    <definedName name="IQ_INV_5YR_ANN_GROWTH" hidden="1">"c1928"</definedName>
    <definedName name="IQ_INV_7YR_ANN_CAGR" hidden="1">"c6163"</definedName>
    <definedName name="IQ_INV_7YR_ANN_GROWTH" hidden="1">"c1929"</definedName>
    <definedName name="IQ_INV_BANKING_FEE" hidden="1">"c620"</definedName>
    <definedName name="IQ_INV_METHOD" hidden="1">"c621"</definedName>
    <definedName name="IQ_INVENTORIES" hidden="1">"c6901"</definedName>
    <definedName name="IQ_INVENTORIES_APR" hidden="1">"c7561"</definedName>
    <definedName name="IQ_INVENTORIES_APR_FC" hidden="1">"c8441"</definedName>
    <definedName name="IQ_INVENTORIES_FC" hidden="1">"c7781"</definedName>
    <definedName name="IQ_INVENTORIES_POP" hidden="1">"c7121"</definedName>
    <definedName name="IQ_INVENTORIES_POP_FC" hidden="1">"c8001"</definedName>
    <definedName name="IQ_INVENTORIES_YOY" hidden="1">"c7341"</definedName>
    <definedName name="IQ_INVENTORIES_YOY_FC" hidden="1">"c8221"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" hidden="1">"c6227"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IES_ASSETS_TOT_FFIEC" hidden="1">"c13440"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" hidden="1">"c6228"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NVEST_UNCONSOLIDATED_SUBS_FFIEC" hidden="1">"c12834"</definedName>
    <definedName name="IQ_INVESTMENT_BANKING_BROKERAGE_FEES_FFIEC" hidden="1">"c13627"</definedName>
    <definedName name="IQ_INVESTMENT_BANKING_FEES_COMMISSIONS_FFIEC" hidden="1">"c13006"</definedName>
    <definedName name="IQ_INVESTMENT_BANKING_OTHER_FEES_FDIC" hidden="1">"c6666"</definedName>
    <definedName name="IQ_IPRD" hidden="1">"c644"</definedName>
    <definedName name="IQ_IRA_KEOGH_ACCOUNTS_FDIC" hidden="1">"c6496"</definedName>
    <definedName name="IQ_ISIN" hidden="1">"c12041"</definedName>
    <definedName name="IQ_ISM_INDEX" hidden="1">"c6902"</definedName>
    <definedName name="IQ_ISM_INDEX_APR" hidden="1">"c7562"</definedName>
    <definedName name="IQ_ISM_INDEX_APR_FC" hidden="1">"c8442"</definedName>
    <definedName name="IQ_ISM_INDEX_FC" hidden="1">"c7782"</definedName>
    <definedName name="IQ_ISM_INDEX_POP" hidden="1">"c7122"</definedName>
    <definedName name="IQ_ISM_INDEX_POP_FC" hidden="1">"c8002"</definedName>
    <definedName name="IQ_ISM_INDEX_YOY" hidden="1">"c7342"</definedName>
    <definedName name="IQ_ISM_INDEX_YOY_FC" hidden="1">"c8222"</definedName>
    <definedName name="IQ_ISM_SERVICES_APR_FC_UNUSED" hidden="1">"c8443"</definedName>
    <definedName name="IQ_ISM_SERVICES_APR_FC_UNUSED_UNUSED_UNUSED" hidden="1">"c8443"</definedName>
    <definedName name="IQ_ISM_SERVICES_APR_UNUSED" hidden="1">"c7563"</definedName>
    <definedName name="IQ_ISM_SERVICES_APR_UNUSED_UNUSED_UNUSED" hidden="1">"c7563"</definedName>
    <definedName name="IQ_ISM_SERVICES_FC_UNUSED" hidden="1">"c7783"</definedName>
    <definedName name="IQ_ISM_SERVICES_FC_UNUSED_UNUSED_UNUSED" hidden="1">"c7783"</definedName>
    <definedName name="IQ_ISM_SERVICES_INDEX" hidden="1">"c11862"</definedName>
    <definedName name="IQ_ISM_SERVICES_INDEX_APR" hidden="1">"c11865"</definedName>
    <definedName name="IQ_ISM_SERVICES_INDEX_POP" hidden="1">"c11863"</definedName>
    <definedName name="IQ_ISM_SERVICES_INDEX_YOY" hidden="1">"c11864"</definedName>
    <definedName name="IQ_ISM_SERVICES_POP_FC_UNUSED" hidden="1">"c8003"</definedName>
    <definedName name="IQ_ISM_SERVICES_POP_FC_UNUSED_UNUSED_UNUSED" hidden="1">"c8003"</definedName>
    <definedName name="IQ_ISM_SERVICES_POP_UNUSED" hidden="1">"c7123"</definedName>
    <definedName name="IQ_ISM_SERVICES_POP_UNUSED_UNUSED_UNUSED" hidden="1">"c7123"</definedName>
    <definedName name="IQ_ISM_SERVICES_UNUSED" hidden="1">"c6903"</definedName>
    <definedName name="IQ_ISM_SERVICES_UNUSED_UNUSED_UNUSED" hidden="1">"c6903"</definedName>
    <definedName name="IQ_ISM_SERVICES_YOY_FC_UNUSED" hidden="1">"c8223"</definedName>
    <definedName name="IQ_ISM_SERVICES_YOY_FC_UNUSED_UNUSED_UNUSED" hidden="1">"c8223"</definedName>
    <definedName name="IQ_ISM_SERVICES_YOY_UNUSED" hidden="1">"c7343"</definedName>
    <definedName name="IQ_ISM_SERVICES_YOY_UNUSED_UNUSED_UNUSED" hidden="1">"c7343"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D_GUARANTEED_US_FDIC" hidden="1">"c6404"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RGE_CAP_LABOR_COST_INDEX" hidden="1">"c6904"</definedName>
    <definedName name="IQ_LARGE_CAP_LABOR_COST_INDEX_APR" hidden="1">"c7564"</definedName>
    <definedName name="IQ_LARGE_CAP_LABOR_COST_INDEX_APR_FC" hidden="1">"c8444"</definedName>
    <definedName name="IQ_LARGE_CAP_LABOR_COST_INDEX_FC" hidden="1">"c7784"</definedName>
    <definedName name="IQ_LARGE_CAP_LABOR_COST_INDEX_POP" hidden="1">"c7124"</definedName>
    <definedName name="IQ_LARGE_CAP_LABOR_COST_INDEX_POP_FC" hidden="1">"c8004"</definedName>
    <definedName name="IQ_LARGE_CAP_LABOR_COST_INDEX_YOY" hidden="1">"c7344"</definedName>
    <definedName name="IQ_LARGE_CAP_LABOR_COST_INDEX_YOY_FC" hidden="1">"c8224"</definedName>
    <definedName name="IQ_LAST_EBIT_MARGIN" hidden="1">"IQ_LAST_EBIT_MARGIN"</definedName>
    <definedName name="IQ_LAST_EBITDA_MARGIN" hidden="1">"IQ_LAST_EBITDA_MARGIN"</definedName>
    <definedName name="IQ_LAST_GROSS_MARGIN" hidden="1">"IQ_LAST_GROSS_MARGIN"</definedName>
    <definedName name="IQ_LAST_NET_INC_MARGIN" hidden="1">"IQ_LAST_NET_INC_MARGIN"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" hidden="1">"1"</definedName>
    <definedName name="IQ_LATEST_MONTHLY_FACTOR" hidden="1">"c8971"</definedName>
    <definedName name="IQ_LATEST_MONTHLY_FACTOR_DATE" hidden="1">"c8972"</definedName>
    <definedName name="IQ_LATESTK" hidden="1">1000</definedName>
    <definedName name="IQ_LATESTKFR" hidden="1">"100"</definedName>
    <definedName name="IQ_LATESTQ" hidden="1">500</definedName>
    <definedName name="IQ_LATESTQFR" hidden="1">"50"</definedName>
    <definedName name="IQ_LEAD_UNDERWRITER" hidden="1">"c8957"</definedName>
    <definedName name="IQ_LEASE_FIN_RECEIVABLES_NON_US_CHARGE_OFFS_FFIEC" hidden="1">"c13631"</definedName>
    <definedName name="IQ_LEASE_FIN_RECEIVABLES_NON_US_RECOV_FFIEC" hidden="1">"c13635"</definedName>
    <definedName name="IQ_LEASE_FIN_RECEIVABLES_US_CHARGE_OFFS_FFIEC" hidden="1">"c13630"</definedName>
    <definedName name="IQ_LEASE_FIN_RECEIVABLES_US_RECOV_FFIEC" hidden="1">"c13634"</definedName>
    <definedName name="IQ_LEASE_FINANCING_REC_DUE_30_89_FFIEC" hidden="1">"c13276"</definedName>
    <definedName name="IQ_LEASE_FINANCING_REC_DUE_90_FFIEC" hidden="1">"c13302"</definedName>
    <definedName name="IQ_LEASE_FINANCING_REC_NON_ACCRUAL_FFIEC" hidden="1">"c13328"</definedName>
    <definedName name="IQ_LEASE_FINANCING_RECEIVABLES_CHARGE_OFFS_FDIC" hidden="1">"c6602"</definedName>
    <definedName name="IQ_LEASE_FINANCING_RECEIVABLES_DOM_FFIEC" hidden="1">"c12915"</definedName>
    <definedName name="IQ_LEASE_FINANCING_RECEIVABLES_FDIC" hidden="1">"c6433"</definedName>
    <definedName name="IQ_LEASE_FINANCING_RECEIVABLES_NET_CHARGE_OFFS_FDIC" hidden="1">"c6640"</definedName>
    <definedName name="IQ_LEASE_FINANCING_RECEIVABLES_RECOVERIES_FDIC" hidden="1">"c6621"</definedName>
    <definedName name="IQ_LEASE_FINANCING_RECEIVABLES_TOTAL_LOANS_FOREIGN_FDIC" hidden="1">"c6449"</definedName>
    <definedName name="IQ_LEASE_RECEIVABLES_FOREIGN_FFIEC" hidden="1">"c13483"</definedName>
    <definedName name="IQ_LEASES_INDIVIDUALS_CHARGE_OFFS_FFIEC" hidden="1">"c13184"</definedName>
    <definedName name="IQ_LEASES_INDIVIDUALS_RECOV_FFIEC" hidden="1">"c13206"</definedName>
    <definedName name="IQ_LEASES_PERSONAL_EXP_DUE_30_89_FFIEC" hidden="1">"c13277"</definedName>
    <definedName name="IQ_LEASES_PERSONAL_EXP_DUE_90_FFIEC" hidden="1">"c13303"</definedName>
    <definedName name="IQ_LEASES_PERSONAL_EXP_NON_ACCRUAL_FFIEC" hidden="1">"c13329"</definedName>
    <definedName name="IQ_LEGAL_FEES_FFIEC" hidden="1">"c13052"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" hidden="1">"c6229"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CAGR" hidden="1">"c6174"</definedName>
    <definedName name="IQ_LFCF_10YR_ANN_GROWTH" hidden="1">"c1942"</definedName>
    <definedName name="IQ_LFCF_1YR_ANN_GROWTH" hidden="1">"c1937"</definedName>
    <definedName name="IQ_LFCF_2YR_ANN_CAGR" hidden="1">"c6170"</definedName>
    <definedName name="IQ_LFCF_2YR_ANN_GROWTH" hidden="1">"c1938"</definedName>
    <definedName name="IQ_LFCF_3YR_ANN_CAGR" hidden="1">"c6171"</definedName>
    <definedName name="IQ_LFCF_3YR_ANN_GROWTH" hidden="1">"c1939"</definedName>
    <definedName name="IQ_LFCF_5YR_ANN_CAGR" hidden="1">"c6172"</definedName>
    <definedName name="IQ_LFCF_5YR_ANN_GROWTH" hidden="1">"c1940"</definedName>
    <definedName name="IQ_LFCF_7YR_ANN_CAGR" hidden="1">"c6173"</definedName>
    <definedName name="IQ_LFCF_7YR_ANN_GROWTH" hidden="1">"c1941"</definedName>
    <definedName name="IQ_LFCF_MARGIN" hidden="1">"c1961"</definedName>
    <definedName name="IQ_LH_STATUTORY_SURPLUS" hidden="1">"c2771"</definedName>
    <definedName name="IQ_LIAB_AP" hidden="1">"c8886"</definedName>
    <definedName name="IQ_LIAB_AP_ABS" hidden="1">"c8905"</definedName>
    <definedName name="IQ_LIAB_NAME_AP" hidden="1">"c8924"</definedName>
    <definedName name="IQ_LIAB_NAME_AP_ABS" hidden="1">"c8943"</definedName>
    <definedName name="IQ_LIABILITY_ACCEPTANCES_OUT_FFIEC" hidden="1">"c12866"</definedName>
    <definedName name="IQ_LIABILITY_SHORT_POSITIONS_DOM_FFIEC" hidden="1">"c12941"</definedName>
    <definedName name="IQ_LICENSED_POPS" hidden="1">"c2123"</definedName>
    <definedName name="IQ_LIFE_EARNED" hidden="1">"c2739"</definedName>
    <definedName name="IQ_LIFE_INSURANCE_ASSETS_FDIC" hidden="1">"c6372"</definedName>
    <definedName name="IQ_LIFE_INSURANCE_ASSETS_FFIEC" hidden="1">"c12847"</definedName>
    <definedName name="IQ_LIFOR" hidden="1">"c655"</definedName>
    <definedName name="IQ_LIQUID_ASSETS_ASSETS_TOT_FFIEC" hidden="1">"c13439"</definedName>
    <definedName name="IQ_LIQUID_ASSETS_NONCORE_FUNDING_FFIEC" hidden="1">"c13339"</definedName>
    <definedName name="IQ_LL" hidden="1">"c656"</definedName>
    <definedName name="IQ_LOAN_ALLOW_GROSS_LOANS_FFIEC" hidden="1">"c13415"</definedName>
    <definedName name="IQ_LOAN_ALLOWANCE_GROSS_LOSSES_FFIEC" hidden="1">"c13352"</definedName>
    <definedName name="IQ_LOAN_ALLOWANCE_NET_LOANS_FFIEC" hidden="1">"c13472"</definedName>
    <definedName name="IQ_LOAN_ALLOWANCE_NONACCRUAL_ASSETS_FFIEC" hidden="1">"c13473"</definedName>
    <definedName name="IQ_LOAN_ALLOWANCE_PAST_DUE_NONACCRUAL_FFIEC" hidden="1">"c13474"</definedName>
    <definedName name="IQ_LOAN_COMMITMENTS_FAIR_VALUE_TOT_FFIEC" hidden="1">"c13216"</definedName>
    <definedName name="IQ_LOAN_COMMITMENTS_LEVEL_1_FFIEC" hidden="1">"c13224"</definedName>
    <definedName name="IQ_LOAN_COMMITMENTS_LEVEL_2_FFIEC" hidden="1">"c13232"</definedName>
    <definedName name="IQ_LOAN_COMMITMENTS_LEVEL_3_FFIEC" hidden="1">"c13240"</definedName>
    <definedName name="IQ_LOAN_COMMITMENTS_REVOLVING_FDIC" hidden="1">"c6524"</definedName>
    <definedName name="IQ_LOAN_LEASE_RECEIV" hidden="1">"c657"</definedName>
    <definedName name="IQ_LOAN_LOSS" hidden="1">"c1386"</definedName>
    <definedName name="IQ_LOAN_LOSS_ALLOW_FDIC" hidden="1">"c6326"</definedName>
    <definedName name="IQ_LOAN_LOSS_ALLOWANCE_NONCURRENT_LOANS_FDIC" hidden="1">"c6740"</definedName>
    <definedName name="IQ_LOAN_LOSSES_AVERAGE_LOANS_FFIEC" hidden="1">"c13350"</definedName>
    <definedName name="IQ_LOAN_LOSSES_FDIC" hidden="1">"c6580"</definedName>
    <definedName name="IQ_LOAN_SERVICE_REV" hidden="1">"c658"</definedName>
    <definedName name="IQ_LOANS_AGRICULTURAL_PROD_LL_REC_FFIEC" hidden="1">"c12886"</definedName>
    <definedName name="IQ_LOANS_AND_LEASES_HELD_FDIC" hidden="1">"c6367"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" hidden="1">"c6230"</definedName>
    <definedName name="IQ_LOANS_CF_REIT" hidden="1">"c664"</definedName>
    <definedName name="IQ_LOANS_CF_UTI" hidden="1">"c665"</definedName>
    <definedName name="IQ_LOANS_DEPOSITORY_INST_US_LL_REC_FFIEC" hidden="1">"c12884"</definedName>
    <definedName name="IQ_LOANS_DEPOSITORY_INSTITUTIONS_FDIC" hidden="1">"c6382"</definedName>
    <definedName name="IQ_LOANS_DOM_QUARTERLY_AVG_FFIEC" hidden="1">"c13084"</definedName>
    <definedName name="IQ_LOANS_FARMERS_CHARGE_OFFS_FFIEC" hidden="1">"c13177"</definedName>
    <definedName name="IQ_LOANS_FARMERS_RECOV_FFIEC" hidden="1">"c13199"</definedName>
    <definedName name="IQ_LOANS_FINANCE_AGRICULTURAL_DUE_30_89_FFIEC" hidden="1">"c13270"</definedName>
    <definedName name="IQ_LOANS_FINANCE_AGRICULTURAL_DUE_90_FFIEC" hidden="1">"c13296"</definedName>
    <definedName name="IQ_LOANS_FINANCE_AGRICULTURAL_NON_ACCRUAL_FFIEC" hidden="1">"c13322"</definedName>
    <definedName name="IQ_LOANS_FINANCE_AGRICULTURAL_PROD_LL_REC_DOM_FFIEC" hidden="1">"c12909"</definedName>
    <definedName name="IQ_LOANS_FOR_SALE" hidden="1">"c666"</definedName>
    <definedName name="IQ_LOANS_FOREIGN_GOV_CHARGE_OFFS_FFIEC" hidden="1">"c13182"</definedName>
    <definedName name="IQ_LOANS_FOREIGN_GOV_DUE_30_89_FFIEC" hidden="1">"c13274"</definedName>
    <definedName name="IQ_LOANS_FOREIGN_GOV_DUE_90_FFIEC" hidden="1">"c13300"</definedName>
    <definedName name="IQ_LOANS_FOREIGN_GOV_LL_REC_DOM_FFIEC" hidden="1">"c12912"</definedName>
    <definedName name="IQ_LOANS_FOREIGN_GOV_NON_ACCRUAL_FFIEC" hidden="1">"c13326"</definedName>
    <definedName name="IQ_LOANS_FOREIGN_GOV_RECOV_FFIEC" hidden="1">"c13204"</definedName>
    <definedName name="IQ_LOANS_FOREIGN_INST_CHARGE_OFFS_FFIEC" hidden="1">"c13176"</definedName>
    <definedName name="IQ_LOANS_FOREIGN_INST_RECOV_FFIEC" hidden="1">"c13198"</definedName>
    <definedName name="IQ_LOANS_FOREIGN_LL_REC_FFIEC" hidden="1">"c12885"</definedName>
    <definedName name="IQ_LOANS_GOV_GUARANTEED_DUE_30_89_FFIEC" hidden="1">"c13281"</definedName>
    <definedName name="IQ_LOANS_GOV_GUARANTEED_DUE_90_FFIEC" hidden="1">"c13307"</definedName>
    <definedName name="IQ_LOANS_GOV_GUARANTEED_EXCL_GNMA_DUE_30_89_FFIEC" hidden="1">"c13282"</definedName>
    <definedName name="IQ_LOANS_GOV_GUARANTEED_EXCL_GNMA_DUE_90_FFIEC" hidden="1">"c13308"</definedName>
    <definedName name="IQ_LOANS_GOV_GUARANTEED_EXCL_GNMA_NON_ACCRUAL_FFIEC" hidden="1">"c13333"</definedName>
    <definedName name="IQ_LOANS_GOV_GUARANTEED_NON_ACCRUAL_FFIEC" hidden="1">"c13332"</definedName>
    <definedName name="IQ_LOANS_HELD_FOREIGN_FDIC" hidden="1">"c6315"</definedName>
    <definedName name="IQ_LOANS_INDIVIDUALS_FOREIGN_FFIEC" hidden="1">"c13480"</definedName>
    <definedName name="IQ_LOANS_LEASES_ASSETS_TOT_FFIEC" hidden="1">"c13437"</definedName>
    <definedName name="IQ_LOANS_LEASES_FAIR_VALUE_TOT_FFIEC" hidden="1">"c13209"</definedName>
    <definedName name="IQ_LOANS_LEASES_FOREIGN_FDIC" hidden="1">"c6383"</definedName>
    <definedName name="IQ_LOANS_LEASES_GROSS_FDIC" hidden="1">"c6323"</definedName>
    <definedName name="IQ_LOANS_LEASES_GROSS_FOREIGN_FDIC" hidden="1">"c6384"</definedName>
    <definedName name="IQ_LOANS_LEASES_HELD_SALE_FFIEC" hidden="1">"c12808"</definedName>
    <definedName name="IQ_LOANS_LEASES_LEVEL_1_FFIEC" hidden="1">"c13217"</definedName>
    <definedName name="IQ_LOANS_LEASES_LEVEL_2_FFIEC" hidden="1">"c13225"</definedName>
    <definedName name="IQ_LOANS_LEASES_LEVEL_3_FFIEC" hidden="1">"c13233"</definedName>
    <definedName name="IQ_LOANS_LEASES_NET_FDIC" hidden="1">"c6327"</definedName>
    <definedName name="IQ_LOANS_LEASES_NET_UNEARNED_FDIC" hidden="1">"c6325"</definedName>
    <definedName name="IQ_LOANS_LEASES_NET_UNEARNED_INC_ALLOWANCE_FFIEC" hidden="1">"c12811"</definedName>
    <definedName name="IQ_LOANS_LEASES_NET_UNEARNED_INCOME_FFIEC" hidden="1">"c12809"</definedName>
    <definedName name="IQ_LOANS_LEASES_QUARTERLY_AVG_FFIEC" hidden="1">"c13081"</definedName>
    <definedName name="IQ_LOANS_LOC_ASSETS_TOT_FFIEC" hidden="1">"c13441"</definedName>
    <definedName name="IQ_LOANS_NOT_SECURED_RE_FDIC" hidden="1">"c6381"</definedName>
    <definedName name="IQ_LOANS_PAST_DUE" hidden="1">"c667"</definedName>
    <definedName name="IQ_LOANS_PURCHASING_CARRYING_SECURITIES_LL_REC_DOM_FFIEC" hidden="1">"c12913"</definedName>
    <definedName name="IQ_LOANS_RECEIV_CURRENT" hidden="1">"c668"</definedName>
    <definedName name="IQ_LOANS_RECEIV_LT" hidden="1">"c669"</definedName>
    <definedName name="IQ_LOANS_RECEIV_LT_UTI" hidden="1">"c670"</definedName>
    <definedName name="IQ_LOANS_SEC_RE_FOREIGN_CHARGE_OFFS_FFIEC" hidden="1">"c13174"</definedName>
    <definedName name="IQ_LOANS_SEC_RE_FOREIGN_RECOV_FFIEC" hidden="1">"c13196"</definedName>
    <definedName name="IQ_LOANS_SECURED_1_4_DOM_QUARTERLY_AVG_FFIEC" hidden="1">"c13082"</definedName>
    <definedName name="IQ_LOANS_SECURED_BY_RE_CHARGE_OFFS_FDIC" hidden="1">"c6588"</definedName>
    <definedName name="IQ_LOANS_SECURED_BY_RE_RECOVERIES_FDIC" hidden="1">"c6607"</definedName>
    <definedName name="IQ_LOANS_SECURED_CONSTRUCTION_TRADING_DOM_FFIEC" hidden="1">"c12925"</definedName>
    <definedName name="IQ_LOANS_SECURED_FARMLAND_TRADING_DOM_FFIEC" hidden="1">"c12926"</definedName>
    <definedName name="IQ_LOANS_SECURED_NON_US_FDIC" hidden="1">"c6380"</definedName>
    <definedName name="IQ_LOANS_SECURED_RE_DOM_QUARTERLY_AVG_FFIEC" hidden="1">"c13083"</definedName>
    <definedName name="IQ_LOANS_SECURED_RE_FFIEC" hidden="1">"c12820"</definedName>
    <definedName name="IQ_LOANS_SECURED_RE_LL_REC_FFIEC" hidden="1">"c12883"</definedName>
    <definedName name="IQ_LOANS_SECURED_RE_NET_CHARGE_OFFS_FDIC" hidden="1">"c6626"</definedName>
    <definedName name="IQ_LOANS_TO_DEPOSITORY_INSTITUTIONS_FOREIGN_FDIC" hidden="1">"c6453"</definedName>
    <definedName name="IQ_LOANS_TO_FOREIGN_GOVERNMENTS_FDIC" hidden="1">"c6448"</definedName>
    <definedName name="IQ_LOANS_TO_INDIVIDUALS_FOREIGN_FDIC" hidden="1">"c6452"</definedName>
    <definedName name="IQ_LOANS_US_INST_CHARGE_OFFS_FFIEC" hidden="1">"c13175"</definedName>
    <definedName name="IQ_LOANS_US_INST_RECOV_FFIEC" hidden="1">"c13197"</definedName>
    <definedName name="IQ_LONG_TERM_ASSETS_FDIC" hidden="1">"c6361"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ALLOWANCE_LOANS_FDIC" hidden="1">"c6739"</definedName>
    <definedName name="IQ_LOSS_AVAIL_SALE_EQUITY_SEC_T1_FFIEC" hidden="1">"c13132"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CIQ" hidden="1">"c4660"</definedName>
    <definedName name="IQ_LOW_TARGET_PRICE_REUT" hidden="1">"c5318"</definedName>
    <definedName name="IQ_LOWPRICE" hidden="1">"c673"</definedName>
    <definedName name="IQ_LT_ASSETS_AP" hidden="1">"c8882"</definedName>
    <definedName name="IQ_LT_ASSETS_AP_ABS" hidden="1">"c8901"</definedName>
    <definedName name="IQ_LT_ASSETS_NAME_AP" hidden="1">"c8920"</definedName>
    <definedName name="IQ_LT_ASSETS_NAME_AP_ABS" hidden="1">"c8939"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" hidden="1">"c6231"</definedName>
    <definedName name="IQ_LT_DEBT_ISSUED_REIT" hidden="1">"c686"</definedName>
    <definedName name="IQ_LT_DEBT_ISSUED_UTI" hidden="1">"c687"</definedName>
    <definedName name="IQ_LT_DEBT_MATURING_1YR_INT_SENSITIVITY_FFIEC" hidden="1">"c13097"</definedName>
    <definedName name="IQ_LT_DEBT_RE" hidden="1">"c6232"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" hidden="1">"c6233"</definedName>
    <definedName name="IQ_LT_DEBT_REPAID_REIT" hidden="1">"c694"</definedName>
    <definedName name="IQ_LT_DEBT_REPAID_UTI" hidden="1">"c695"</definedName>
    <definedName name="IQ_LT_DEBT_REPRICE_ASSETS_TOT_FFIEC" hidden="1">"c13453"</definedName>
    <definedName name="IQ_LT_DEBT_REPRICING_WITHIN_1_YR_INT_SENSITIVITY_FFIEC" hidden="1">"c13095"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" hidden="1">"c6234"</definedName>
    <definedName name="IQ_LT_INVEST_REIT" hidden="1">"c700"</definedName>
    <definedName name="IQ_LT_INVEST_UTI" hidden="1">"c701"</definedName>
    <definedName name="IQ_LT_LIAB_AP" hidden="1">"c8885"</definedName>
    <definedName name="IQ_LT_LIAB_AP_ABS" hidden="1">"c8904"</definedName>
    <definedName name="IQ_LT_LIAB_NAME_AP" hidden="1">"c8923"</definedName>
    <definedName name="IQ_LT_LIAB_NAME_AP_ABS" hidden="1">"c8942"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DATE" hidden="1">"IQ_LTM_DATE"</definedName>
    <definedName name="IQ_LTM_REVENUE_OVER_EMPLOYEES" hidden="1">"c1437"</definedName>
    <definedName name="IQ_LTMMONTH" hidden="1">120000</definedName>
    <definedName name="IQ_M1" hidden="1">"c6906"</definedName>
    <definedName name="IQ_M1_APR" hidden="1">"c7566"</definedName>
    <definedName name="IQ_M1_APR_FC" hidden="1">"c8446"</definedName>
    <definedName name="IQ_M1_FC" hidden="1">"c7786"</definedName>
    <definedName name="IQ_M1_POP" hidden="1">"c7126"</definedName>
    <definedName name="IQ_M1_POP_FC" hidden="1">"c8006"</definedName>
    <definedName name="IQ_M1_YOY" hidden="1">"c7346"</definedName>
    <definedName name="IQ_M1_YOY_FC" hidden="1">"c8226"</definedName>
    <definedName name="IQ_M2" hidden="1">"c6907"</definedName>
    <definedName name="IQ_M2_APR" hidden="1">"c7567"</definedName>
    <definedName name="IQ_M2_APR_FC" hidden="1">"c8447"</definedName>
    <definedName name="IQ_M2_FC" hidden="1">"c7787"</definedName>
    <definedName name="IQ_M2_POP" hidden="1">"c7127"</definedName>
    <definedName name="IQ_M2_POP_FC" hidden="1">"c8007"</definedName>
    <definedName name="IQ_M2_YOY" hidden="1">"c7347"</definedName>
    <definedName name="IQ_M2_YOY_FC" hidden="1">"c8227"</definedName>
    <definedName name="IQ_M3" hidden="1">"c6908"</definedName>
    <definedName name="IQ_M3_APR" hidden="1">"c7568"</definedName>
    <definedName name="IQ_M3_APR_FC" hidden="1">"c8448"</definedName>
    <definedName name="IQ_M3_FC" hidden="1">"c7788"</definedName>
    <definedName name="IQ_M3_POP" hidden="1">"c7128"</definedName>
    <definedName name="IQ_M3_POP_FC" hidden="1">"c8008"</definedName>
    <definedName name="IQ_M3_YOY" hidden="1">"c7348"</definedName>
    <definedName name="IQ_M3_YOY_FC" hidden="1">"c8228"</definedName>
    <definedName name="IQ_MACHINERY" hidden="1">"c711"</definedName>
    <definedName name="IQ_MAINT_CAPEX" hidden="1">"c2947"</definedName>
    <definedName name="IQ_MAINT_CAPEX_ACT_OR_EST" hidden="1">"c4458"</definedName>
    <definedName name="IQ_MAINT_CAPEX_ACT_OR_EST_CIQ" hidden="1">"c4987"</definedName>
    <definedName name="IQ_MAINT_CAPEX_EST" hidden="1">"c4457"</definedName>
    <definedName name="IQ_MAINT_CAPEX_GUIDANCE" hidden="1">"c4459"</definedName>
    <definedName name="IQ_MAINT_CAPEX_HIGH_EST" hidden="1">"c4460"</definedName>
    <definedName name="IQ_MAINT_CAPEX_HIGH_GUIDANCE" hidden="1">"c4197"</definedName>
    <definedName name="IQ_MAINT_CAPEX_LOW_EST" hidden="1">"c4461"</definedName>
    <definedName name="IQ_MAINT_CAPEX_LOW_GUIDANCE" hidden="1">"c4237"</definedName>
    <definedName name="IQ_MAINT_CAPEX_MEDIAN_EST" hidden="1">"c4462"</definedName>
    <definedName name="IQ_MAINT_CAPEX_NUM_EST" hidden="1">"c4463"</definedName>
    <definedName name="IQ_MAINT_CAPEX_STDDEV_EST" hidden="1">"c4464"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N_INVENTORIES" hidden="1">"c6913"</definedName>
    <definedName name="IQ_MAN_INVENTORIES_APR" hidden="1">"c7573"</definedName>
    <definedName name="IQ_MAN_INVENTORIES_APR_FC" hidden="1">"c8453"</definedName>
    <definedName name="IQ_MAN_INVENTORIES_FC" hidden="1">"c7793"</definedName>
    <definedName name="IQ_MAN_INVENTORIES_POP" hidden="1">"c7133"</definedName>
    <definedName name="IQ_MAN_INVENTORIES_POP_FC" hidden="1">"c8013"</definedName>
    <definedName name="IQ_MAN_INVENTORIES_YOY" hidden="1">"c7353"</definedName>
    <definedName name="IQ_MAN_INVENTORIES_YOY_FC" hidden="1">"c8233"</definedName>
    <definedName name="IQ_MAN_IS_RATIO" hidden="1">"c6912"</definedName>
    <definedName name="IQ_MAN_IS_RATIO_APR" hidden="1">"c7572"</definedName>
    <definedName name="IQ_MAN_IS_RATIO_APR_FC" hidden="1">"c8452"</definedName>
    <definedName name="IQ_MAN_IS_RATIO_FC" hidden="1">"c7792"</definedName>
    <definedName name="IQ_MAN_IS_RATIO_POP" hidden="1">"c7132"</definedName>
    <definedName name="IQ_MAN_IS_RATIO_POP_FC" hidden="1">"c8012"</definedName>
    <definedName name="IQ_MAN_IS_RATIO_YOY" hidden="1">"c7352"</definedName>
    <definedName name="IQ_MAN_IS_RATIO_YOY_FC" hidden="1">"c8232"</definedName>
    <definedName name="IQ_MAN_ORDERS" hidden="1">"c6914"</definedName>
    <definedName name="IQ_MAN_ORDERS_APR" hidden="1">"c7574"</definedName>
    <definedName name="IQ_MAN_ORDERS_APR_FC" hidden="1">"c8454"</definedName>
    <definedName name="IQ_MAN_ORDERS_FC" hidden="1">"c7794"</definedName>
    <definedName name="IQ_MAN_ORDERS_POP" hidden="1">"c7134"</definedName>
    <definedName name="IQ_MAN_ORDERS_POP_FC" hidden="1">"c8014"</definedName>
    <definedName name="IQ_MAN_ORDERS_YOY" hidden="1">"c7354"</definedName>
    <definedName name="IQ_MAN_ORDERS_YOY_FC" hidden="1">"c8234"</definedName>
    <definedName name="IQ_MAN_OUTPUT_HR" hidden="1">"c6915"</definedName>
    <definedName name="IQ_MAN_OUTPUT_HR_APR" hidden="1">"c7575"</definedName>
    <definedName name="IQ_MAN_OUTPUT_HR_APR_FC" hidden="1">"c8455"</definedName>
    <definedName name="IQ_MAN_OUTPUT_HR_FC" hidden="1">"c7795"</definedName>
    <definedName name="IQ_MAN_OUTPUT_HR_POP" hidden="1">"c7135"</definedName>
    <definedName name="IQ_MAN_OUTPUT_HR_POP_FC" hidden="1">"c8015"</definedName>
    <definedName name="IQ_MAN_OUTPUT_HR_YOY" hidden="1">"c7355"</definedName>
    <definedName name="IQ_MAN_OUTPUT_HR_YOY_FC" hidden="1">"c8235"</definedName>
    <definedName name="IQ_MAN_PAYROLLS" hidden="1">"c6916"</definedName>
    <definedName name="IQ_MAN_PAYROLLS_APR" hidden="1">"c7576"</definedName>
    <definedName name="IQ_MAN_PAYROLLS_APR_FC" hidden="1">"c8456"</definedName>
    <definedName name="IQ_MAN_PAYROLLS_FC" hidden="1">"c7796"</definedName>
    <definedName name="IQ_MAN_PAYROLLS_POP" hidden="1">"c7136"</definedName>
    <definedName name="IQ_MAN_PAYROLLS_POP_FC" hidden="1">"c8016"</definedName>
    <definedName name="IQ_MAN_PAYROLLS_YOY" hidden="1">"c7356"</definedName>
    <definedName name="IQ_MAN_PAYROLLS_YOY_FC" hidden="1">"c8236"</definedName>
    <definedName name="IQ_MAN_SHIPMENTS" hidden="1">"c6917"</definedName>
    <definedName name="IQ_MAN_SHIPMENTS_APR" hidden="1">"c7577"</definedName>
    <definedName name="IQ_MAN_SHIPMENTS_APR_FC" hidden="1">"c8457"</definedName>
    <definedName name="IQ_MAN_SHIPMENTS_FC" hidden="1">"c7797"</definedName>
    <definedName name="IQ_MAN_SHIPMENTS_POP" hidden="1">"c7137"</definedName>
    <definedName name="IQ_MAN_SHIPMENTS_POP_FC" hidden="1">"c8017"</definedName>
    <definedName name="IQ_MAN_SHIPMENTS_YOY" hidden="1">"c7357"</definedName>
    <definedName name="IQ_MAN_SHIPMENTS_YOY_FC" hidden="1">"c8237"</definedName>
    <definedName name="IQ_MAN_TOTAL_HR" hidden="1">"c6918"</definedName>
    <definedName name="IQ_MAN_TOTAL_HR_APR" hidden="1">"c7578"</definedName>
    <definedName name="IQ_MAN_TOTAL_HR_APR_FC" hidden="1">"c8458"</definedName>
    <definedName name="IQ_MAN_TOTAL_HR_FC" hidden="1">"c7798"</definedName>
    <definedName name="IQ_MAN_TOTAL_HR_POP" hidden="1">"c7138"</definedName>
    <definedName name="IQ_MAN_TOTAL_HR_POP_FC" hidden="1">"c8018"</definedName>
    <definedName name="IQ_MAN_TOTAL_HR_YOY" hidden="1">"c7358"</definedName>
    <definedName name="IQ_MAN_TOTAL_HR_YOY_FC" hidden="1">"c8238"</definedName>
    <definedName name="IQ_MAN_TRADE_INVENTORIES" hidden="1">"c6910"</definedName>
    <definedName name="IQ_MAN_TRADE_INVENTORIES_APR" hidden="1">"c7570"</definedName>
    <definedName name="IQ_MAN_TRADE_INVENTORIES_APR_FC" hidden="1">"c8450"</definedName>
    <definedName name="IQ_MAN_TRADE_INVENTORIES_FC" hidden="1">"c7790"</definedName>
    <definedName name="IQ_MAN_TRADE_INVENTORIES_POP" hidden="1">"c7130"</definedName>
    <definedName name="IQ_MAN_TRADE_INVENTORIES_POP_FC" hidden="1">"c8010"</definedName>
    <definedName name="IQ_MAN_TRADE_INVENTORIES_YOY" hidden="1">"c7350"</definedName>
    <definedName name="IQ_MAN_TRADE_INVENTORIES_YOY_FC" hidden="1">"c8230"</definedName>
    <definedName name="IQ_MAN_TRADE_IS_RATIO" hidden="1">"c6909"</definedName>
    <definedName name="IQ_MAN_TRADE_IS_RATIO_FC" hidden="1">"c7789"</definedName>
    <definedName name="IQ_MAN_TRADE_IS_RATIO_POP" hidden="1">"c7129"</definedName>
    <definedName name="IQ_MAN_TRADE_IS_RATIO_POP_FC" hidden="1">"c8009"</definedName>
    <definedName name="IQ_MAN_TRADE_IS_RATIO_YOY" hidden="1">"c7349"</definedName>
    <definedName name="IQ_MAN_TRADE_IS_RATIO_YOY_FC" hidden="1">"c8229"</definedName>
    <definedName name="IQ_MAN_TRADE_SALES" hidden="1">"c6911"</definedName>
    <definedName name="IQ_MAN_TRADE_SALES_APR" hidden="1">"c7571"</definedName>
    <definedName name="IQ_MAN_TRADE_SALES_APR_FC" hidden="1">"c8451"</definedName>
    <definedName name="IQ_MAN_TRADE_SALES_FC" hidden="1">"c7791"</definedName>
    <definedName name="IQ_MAN_TRADE_SALES_POP" hidden="1">"c7131"</definedName>
    <definedName name="IQ_MAN_TRADE_SALES_POP_FC" hidden="1">"c8011"</definedName>
    <definedName name="IQ_MAN_TRADE_SALES_YOY" hidden="1">"c7351"</definedName>
    <definedName name="IQ_MAN_TRADE_SALES_YOY_FC" hidden="1">"c8231"</definedName>
    <definedName name="IQ_MAN_WAGES" hidden="1">"c6919"</definedName>
    <definedName name="IQ_MAN_WAGES_APR" hidden="1">"c7579"</definedName>
    <definedName name="IQ_MAN_WAGES_APR_FC" hidden="1">"c8459"</definedName>
    <definedName name="IQ_MAN_WAGES_FC" hidden="1">"c7799"</definedName>
    <definedName name="IQ_MAN_WAGES_POP" hidden="1">"c7139"</definedName>
    <definedName name="IQ_MAN_WAGES_POP_FC" hidden="1">"c8019"</definedName>
    <definedName name="IQ_MAN_WAGES_YOY" hidden="1">"c7359"</definedName>
    <definedName name="IQ_MAN_WAGES_YOY_FC" hidden="1">"c8239"</definedName>
    <definedName name="IQ_MANAGED_PROP" hidden="1">"c8763"</definedName>
    <definedName name="IQ_MANAGED_SQ_FT" hidden="1">"c8779"</definedName>
    <definedName name="IQ_MANAGED_UNITS" hidden="1">"c8771"</definedName>
    <definedName name="IQ_MARGIN_ANNUAL_PREMIUM_EQUIVALENT_NEW_BUSINESS" hidden="1">"c9970"</definedName>
    <definedName name="IQ_MARGIN_PV_PREMIUMS_NEW_BUSINESS" hidden="1">"c9971"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ATURITY_ONE_YEAR_LESS_FDIC" hidden="1">"c6425"</definedName>
    <definedName name="IQ_MBS_INVEST_SECURITIES_FFIEC" hidden="1">"c13460"</definedName>
    <definedName name="IQ_MBS_OTHER_ISSUED_FNMA_OTHERS_AVAIL_SALE_FFIEC" hidden="1">"c12799"</definedName>
    <definedName name="IQ_MBS_OTHER_ISSUED_FNMA_OTHERS_FFIEC" hidden="1">"c12785"</definedName>
    <definedName name="IQ_MBS_PASS_THROUGH_FNMA_AVAIL_SALE_FFIEC" hidden="1">"c12797"</definedName>
    <definedName name="IQ_MBS_PASS_THROUGH_FNMA_FFIEC" hidden="1">"c12783"</definedName>
    <definedName name="IQ_MBS_PASS_THROUGH_GNMA_AVAIL_SALE_FFIEC" hidden="1">"c12796"</definedName>
    <definedName name="IQ_MBS_PASS_THROUGH_GNMA_FFIEC" hidden="1">"c12782"</definedName>
    <definedName name="IQ_MBS_PASS_THROUGH_ISSUED_FNMA_GNMA_TRADING_DOM_FFIEC" hidden="1">"c12921"</definedName>
    <definedName name="IQ_MBS_PASS_THROUGH_OTHER_AVAIL_SALE_FFIEC" hidden="1">"c12798"</definedName>
    <definedName name="IQ_MBS_PASS_THROUGH_OTHER_FFIEC" hidden="1">"c12784"</definedName>
    <definedName name="IQ_MC_ASO_COVERED_LIVES" hidden="1">"c9918"</definedName>
    <definedName name="IQ_MC_ASO_MEMBERSHIP" hidden="1">"c9921"</definedName>
    <definedName name="IQ_MC_CLAIMS_RESERVES" hidden="1">"c9941"</definedName>
    <definedName name="IQ_MC_COMBINED_RATIO" hidden="1">"c9933"</definedName>
    <definedName name="IQ_MC_DAYS_CLAIMS_PAYABLE" hidden="1">"c9937"</definedName>
    <definedName name="IQ_MC_DAYS_CLAIMS_PAYABLE_EXCL_CAPITATION" hidden="1">"c9938"</definedName>
    <definedName name="IQ_MC_MEDICAL_COSTS_PMPM" hidden="1">"c9925"</definedName>
    <definedName name="IQ_MC_PARENT_CASH" hidden="1">"c9942"</definedName>
    <definedName name="IQ_MC_PREMIUMS_PMPM" hidden="1">"c9924"</definedName>
    <definedName name="IQ_MC_RATIO" hidden="1">"c2783"</definedName>
    <definedName name="IQ_MC_RECEIPT_CYCLE_TIME_DAYS" hidden="1">"c9939"</definedName>
    <definedName name="IQ_MC_RECEIPT_CYCLE_TIME_MONTHS" hidden="1">"c9940"</definedName>
    <definedName name="IQ_MC_RISK_COVERED_LIVES" hidden="1">"c9917"</definedName>
    <definedName name="IQ_MC_RISK_MEMBERSHIP" hidden="1">"c9920"</definedName>
    <definedName name="IQ_MC_SELLILNG_COSTS_RATIO" hidden="1">"c9928"</definedName>
    <definedName name="IQ_MC_SGA_PMPM" hidden="1">"c9926"</definedName>
    <definedName name="IQ_MC_STATUTORY_SURPLUS" hidden="1">"c2772"</definedName>
    <definedName name="IQ_MC_TOTAL_COVERED_LIVES" hidden="1">"c9919"</definedName>
    <definedName name="IQ_MC_TOTAL_MEMBERSHIP" hidden="1">"c9922"</definedName>
    <definedName name="IQ_MC_TOTAL_MEMBERSHIP_CAPITATION" hidden="1">"c9923"</definedName>
    <definedName name="IQ_MC_UNPROCESSED_CLAIMS_INVENTORY_DAYS" hidden="1">"c9936"</definedName>
    <definedName name="IQ_MC_UNPROCESSED_CLAIMS_INVENTORY_NUMBER" hidden="1">"c9934"</definedName>
    <definedName name="IQ_MC_UNPROCESSED_CLAIMS_INVENTORY_VALUE" hidden="1">"c9935"</definedName>
    <definedName name="IQ_MEASURED_ATTRIB_ORE_RESOURCES_ALUM" hidden="1">"c9237"</definedName>
    <definedName name="IQ_MEASURED_ATTRIB_ORE_RESOURCES_COP" hidden="1">"c9181"</definedName>
    <definedName name="IQ_MEASURED_ATTRIB_ORE_RESOURCES_DIAM" hidden="1">"c9661"</definedName>
    <definedName name="IQ_MEASURED_ATTRIB_ORE_RESOURCES_GOLD" hidden="1">"c9022"</definedName>
    <definedName name="IQ_MEASURED_ATTRIB_ORE_RESOURCES_IRON" hidden="1">"c9396"</definedName>
    <definedName name="IQ_MEASURED_ATTRIB_ORE_RESOURCES_LEAD" hidden="1">"c9449"</definedName>
    <definedName name="IQ_MEASURED_ATTRIB_ORE_RESOURCES_MANG" hidden="1">"c9502"</definedName>
    <definedName name="IQ_MEASURED_ATTRIB_ORE_RESOURCES_MOLYB" hidden="1">"c9714"</definedName>
    <definedName name="IQ_MEASURED_ATTRIB_ORE_RESOURCES_NICK" hidden="1">"c9290"</definedName>
    <definedName name="IQ_MEASURED_ATTRIB_ORE_RESOURCES_PLAT" hidden="1">"c9128"</definedName>
    <definedName name="IQ_MEASURED_ATTRIB_ORE_RESOURCES_SILVER" hidden="1">"c9075"</definedName>
    <definedName name="IQ_MEASURED_ATTRIB_ORE_RESOURCES_TITAN" hidden="1">"c9555"</definedName>
    <definedName name="IQ_MEASURED_ATTRIB_ORE_RESOURCES_URAN" hidden="1">"c9608"</definedName>
    <definedName name="IQ_MEASURED_ATTRIB_ORE_RESOURCES_ZINC" hidden="1">"c9343"</definedName>
    <definedName name="IQ_MEASURED_INDICATED_ATTRIB_ORE_RESOURCES_ALUM" hidden="1">"c9239"</definedName>
    <definedName name="IQ_MEASURED_INDICATED_ATTRIB_ORE_RESOURCES_COP" hidden="1">"c9183"</definedName>
    <definedName name="IQ_MEASURED_INDICATED_ATTRIB_ORE_RESOURCES_DIAM" hidden="1">"c9663"</definedName>
    <definedName name="IQ_MEASURED_INDICATED_ATTRIB_ORE_RESOURCES_GOLD" hidden="1">"c9024"</definedName>
    <definedName name="IQ_MEASURED_INDICATED_ATTRIB_ORE_RESOURCES_IRON" hidden="1">"c9398"</definedName>
    <definedName name="IQ_MEASURED_INDICATED_ATTRIB_ORE_RESOURCES_LEAD" hidden="1">"c9451"</definedName>
    <definedName name="IQ_MEASURED_INDICATED_ATTRIB_ORE_RESOURCES_MANG" hidden="1">"c9504"</definedName>
    <definedName name="IQ_MEASURED_INDICATED_ATTRIB_ORE_RESOURCES_MOLYB" hidden="1">"c9716"</definedName>
    <definedName name="IQ_MEASURED_INDICATED_ATTRIB_ORE_RESOURCES_NICK" hidden="1">"c9292"</definedName>
    <definedName name="IQ_MEASURED_INDICATED_ATTRIB_ORE_RESOURCES_PLAT" hidden="1">"c9130"</definedName>
    <definedName name="IQ_MEASURED_INDICATED_ATTRIB_ORE_RESOURCES_SILVER" hidden="1">"c9077"</definedName>
    <definedName name="IQ_MEASURED_INDICATED_ATTRIB_ORE_RESOURCES_TITAN" hidden="1">"c9557"</definedName>
    <definedName name="IQ_MEASURED_INDICATED_ATTRIB_ORE_RESOURCES_URAN" hidden="1">"c9610"</definedName>
    <definedName name="IQ_MEASURED_INDICATED_ATTRIB_ORE_RESOURCES_ZINC" hidden="1">"c9345"</definedName>
    <definedName name="IQ_MEASURED_INDICATED_ORE_RESOURCES_ALUM" hidden="1">"c9226"</definedName>
    <definedName name="IQ_MEASURED_INDICATED_ORE_RESOURCES_COP" hidden="1">"c9170"</definedName>
    <definedName name="IQ_MEASURED_INDICATED_ORE_RESOURCES_DIAM" hidden="1">"c9650"</definedName>
    <definedName name="IQ_MEASURED_INDICATED_ORE_RESOURCES_GOLD" hidden="1">"c9011"</definedName>
    <definedName name="IQ_MEASURED_INDICATED_ORE_RESOURCES_IRON" hidden="1">"c9385"</definedName>
    <definedName name="IQ_MEASURED_INDICATED_ORE_RESOURCES_LEAD" hidden="1">"c9438"</definedName>
    <definedName name="IQ_MEASURED_INDICATED_ORE_RESOURCES_MANG" hidden="1">"c9491"</definedName>
    <definedName name="IQ_MEASURED_INDICATED_ORE_RESOURCES_MOLYB" hidden="1">"c9703"</definedName>
    <definedName name="IQ_MEASURED_INDICATED_ORE_RESOURCES_NICK" hidden="1">"c9279"</definedName>
    <definedName name="IQ_MEASURED_INDICATED_ORE_RESOURCES_PLAT" hidden="1">"c9117"</definedName>
    <definedName name="IQ_MEASURED_INDICATED_ORE_RESOURCES_SILVER" hidden="1">"c9064"</definedName>
    <definedName name="IQ_MEASURED_INDICATED_ORE_RESOURCES_TITAN" hidden="1">"c9544"</definedName>
    <definedName name="IQ_MEASURED_INDICATED_ORE_RESOURCES_URAN" hidden="1">"c9597"</definedName>
    <definedName name="IQ_MEASURED_INDICATED_ORE_RESOURCES_ZINC" hidden="1">"c9332"</definedName>
    <definedName name="IQ_MEASURED_INDICATED_RECOV_RESOURCES_ALUM" hidden="1">"c9234"</definedName>
    <definedName name="IQ_MEASURED_INDICATED_RECOV_RESOURCES_COAL" hidden="1">"c9813"</definedName>
    <definedName name="IQ_MEASURED_INDICATED_RECOV_RESOURCES_COP" hidden="1">"c9178"</definedName>
    <definedName name="IQ_MEASURED_INDICATED_RECOV_RESOURCES_DIAM" hidden="1">"c9658"</definedName>
    <definedName name="IQ_MEASURED_INDICATED_RECOV_RESOURCES_GOLD" hidden="1">"c9019"</definedName>
    <definedName name="IQ_MEASURED_INDICATED_RECOV_RESOURCES_IRON" hidden="1">"c9393"</definedName>
    <definedName name="IQ_MEASURED_INDICATED_RECOV_RESOURCES_LEAD" hidden="1">"c9446"</definedName>
    <definedName name="IQ_MEASURED_INDICATED_RECOV_RESOURCES_MANG" hidden="1">"c9499"</definedName>
    <definedName name="IQ_MEASURED_INDICATED_RECOV_RESOURCES_MET_COAL" hidden="1">"c9753"</definedName>
    <definedName name="IQ_MEASURED_INDICATED_RECOV_RESOURCES_MOLYB" hidden="1">"c9711"</definedName>
    <definedName name="IQ_MEASURED_INDICATED_RECOV_RESOURCES_NICK" hidden="1">"c9287"</definedName>
    <definedName name="IQ_MEASURED_INDICATED_RECOV_RESOURCES_PLAT" hidden="1">"c9125"</definedName>
    <definedName name="IQ_MEASURED_INDICATED_RECOV_RESOURCES_SILVER" hidden="1">"c9072"</definedName>
    <definedName name="IQ_MEASURED_INDICATED_RECOV_RESOURCES_STEAM" hidden="1">"c9783"</definedName>
    <definedName name="IQ_MEASURED_INDICATED_RECOV_RESOURCES_TITAN" hidden="1">"c9552"</definedName>
    <definedName name="IQ_MEASURED_INDICATED_RECOV_RESOURCES_URAN" hidden="1">"c9605"</definedName>
    <definedName name="IQ_MEASURED_INDICATED_RECOV_RESOURCES_ZINC" hidden="1">"c9340"</definedName>
    <definedName name="IQ_MEASURED_INDICATED_RESOURCES_GRADE_ALUM" hidden="1">"c9227"</definedName>
    <definedName name="IQ_MEASURED_INDICATED_RESOURCES_GRADE_COP" hidden="1">"c9171"</definedName>
    <definedName name="IQ_MEASURED_INDICATED_RESOURCES_GRADE_DIAM" hidden="1">"c9651"</definedName>
    <definedName name="IQ_MEASURED_INDICATED_RESOURCES_GRADE_GOLD" hidden="1">"c9012"</definedName>
    <definedName name="IQ_MEASURED_INDICATED_RESOURCES_GRADE_IRON" hidden="1">"c9386"</definedName>
    <definedName name="IQ_MEASURED_INDICATED_RESOURCES_GRADE_LEAD" hidden="1">"c9439"</definedName>
    <definedName name="IQ_MEASURED_INDICATED_RESOURCES_GRADE_MANG" hidden="1">"c9492"</definedName>
    <definedName name="IQ_MEASURED_INDICATED_RESOURCES_GRADE_MOLYB" hidden="1">"c9704"</definedName>
    <definedName name="IQ_MEASURED_INDICATED_RESOURCES_GRADE_NICK" hidden="1">"c9280"</definedName>
    <definedName name="IQ_MEASURED_INDICATED_RESOURCES_GRADE_PLAT" hidden="1">"c9118"</definedName>
    <definedName name="IQ_MEASURED_INDICATED_RESOURCES_GRADE_SILVER" hidden="1">"c9065"</definedName>
    <definedName name="IQ_MEASURED_INDICATED_RESOURCES_GRADE_TITAN" hidden="1">"c9545"</definedName>
    <definedName name="IQ_MEASURED_INDICATED_RESOURCES_GRADE_URAN" hidden="1">"c9598"</definedName>
    <definedName name="IQ_MEASURED_INDICATED_RESOURCES_GRADE_ZINC" hidden="1">"c9333"</definedName>
    <definedName name="IQ_MEASURED_ORE_RESOURCES_ALUM" hidden="1">"c9222"</definedName>
    <definedName name="IQ_MEASURED_ORE_RESOURCES_COP" hidden="1">"c9166"</definedName>
    <definedName name="IQ_MEASURED_ORE_RESOURCES_DIAM" hidden="1">"c9646"</definedName>
    <definedName name="IQ_MEASURED_ORE_RESOURCES_GOLD" hidden="1">"c9007"</definedName>
    <definedName name="IQ_MEASURED_ORE_RESOURCES_IRON" hidden="1">"c9381"</definedName>
    <definedName name="IQ_MEASURED_ORE_RESOURCES_LEAD" hidden="1">"c9434"</definedName>
    <definedName name="IQ_MEASURED_ORE_RESOURCES_MANG" hidden="1">"c9487"</definedName>
    <definedName name="IQ_MEASURED_ORE_RESOURCES_MOLYB" hidden="1">"c9699"</definedName>
    <definedName name="IQ_MEASURED_ORE_RESOURCES_NICK" hidden="1">"c9275"</definedName>
    <definedName name="IQ_MEASURED_ORE_RESOURCES_PLAT" hidden="1">"c9113"</definedName>
    <definedName name="IQ_MEASURED_ORE_RESOURCES_SILVER" hidden="1">"c9060"</definedName>
    <definedName name="IQ_MEASURED_ORE_RESOURCES_TITAN" hidden="1">"c9540"</definedName>
    <definedName name="IQ_MEASURED_ORE_RESOURCES_URAN" hidden="1">"c9593"</definedName>
    <definedName name="IQ_MEASURED_ORE_RESOURCES_ZINC" hidden="1">"c9328"</definedName>
    <definedName name="IQ_MEASURED_RECOV_ATTRIB_RESOURCES_ALUM" hidden="1">"c9242"</definedName>
    <definedName name="IQ_MEASURED_RECOV_ATTRIB_RESOURCES_COAL" hidden="1">"c9816"</definedName>
    <definedName name="IQ_MEASURED_RECOV_ATTRIB_RESOURCES_COP" hidden="1">"c9186"</definedName>
    <definedName name="IQ_MEASURED_RECOV_ATTRIB_RESOURCES_DIAM" hidden="1">"c9666"</definedName>
    <definedName name="IQ_MEASURED_RECOV_ATTRIB_RESOURCES_GOLD" hidden="1">"c9027"</definedName>
    <definedName name="IQ_MEASURED_RECOV_ATTRIB_RESOURCES_IRON" hidden="1">"c9401"</definedName>
    <definedName name="IQ_MEASURED_RECOV_ATTRIB_RESOURCES_LEAD" hidden="1">"c9454"</definedName>
    <definedName name="IQ_MEASURED_RECOV_ATTRIB_RESOURCES_MANG" hidden="1">"c9507"</definedName>
    <definedName name="IQ_MEASURED_RECOV_ATTRIB_RESOURCES_MET_COAL" hidden="1">"c9756"</definedName>
    <definedName name="IQ_MEASURED_RECOV_ATTRIB_RESOURCES_MOLYB" hidden="1">"c9719"</definedName>
    <definedName name="IQ_MEASURED_RECOV_ATTRIB_RESOURCES_NICK" hidden="1">"c9295"</definedName>
    <definedName name="IQ_MEASURED_RECOV_ATTRIB_RESOURCES_PLAT" hidden="1">"c9133"</definedName>
    <definedName name="IQ_MEASURED_RECOV_ATTRIB_RESOURCES_SILVER" hidden="1">"c9080"</definedName>
    <definedName name="IQ_MEASURED_RECOV_ATTRIB_RESOURCES_STEAM" hidden="1">"c9786"</definedName>
    <definedName name="IQ_MEASURED_RECOV_ATTRIB_RESOURCES_TITAN" hidden="1">"c9560"</definedName>
    <definedName name="IQ_MEASURED_RECOV_ATTRIB_RESOURCES_URAN" hidden="1">"c9613"</definedName>
    <definedName name="IQ_MEASURED_RECOV_ATTRIB_RESOURCES_ZINC" hidden="1">"c9348"</definedName>
    <definedName name="IQ_MEASURED_RECOV_RESOURCES_ALUM" hidden="1">"c9232"</definedName>
    <definedName name="IQ_MEASURED_RECOV_RESOURCES_COAL" hidden="1">"c9811"</definedName>
    <definedName name="IQ_MEASURED_RECOV_RESOURCES_COP" hidden="1">"c9176"</definedName>
    <definedName name="IQ_MEASURED_RECOV_RESOURCES_DIAM" hidden="1">"c9656"</definedName>
    <definedName name="IQ_MEASURED_RECOV_RESOURCES_GOLD" hidden="1">"c9017"</definedName>
    <definedName name="IQ_MEASURED_RECOV_RESOURCES_IRON" hidden="1">"c9391"</definedName>
    <definedName name="IQ_MEASURED_RECOV_RESOURCES_LEAD" hidden="1">"c9444"</definedName>
    <definedName name="IQ_MEASURED_RECOV_RESOURCES_MANG" hidden="1">"c9497"</definedName>
    <definedName name="IQ_MEASURED_RECOV_RESOURCES_MET_COAL" hidden="1">"c9751"</definedName>
    <definedName name="IQ_MEASURED_RECOV_RESOURCES_MOLYB" hidden="1">"c9709"</definedName>
    <definedName name="IQ_MEASURED_RECOV_RESOURCES_NICK" hidden="1">"c9285"</definedName>
    <definedName name="IQ_MEASURED_RECOV_RESOURCES_PLAT" hidden="1">"c9123"</definedName>
    <definedName name="IQ_MEASURED_RECOV_RESOURCES_SILVER" hidden="1">"c9070"</definedName>
    <definedName name="IQ_MEASURED_RECOV_RESOURCES_STEAM" hidden="1">"c9781"</definedName>
    <definedName name="IQ_MEASURED_RECOV_RESOURCES_TITAN" hidden="1">"c9550"</definedName>
    <definedName name="IQ_MEASURED_RECOV_RESOURCES_URAN" hidden="1">"c9603"</definedName>
    <definedName name="IQ_MEASURED_RECOV_RESOURCES_ZINC" hidden="1">"c9338"</definedName>
    <definedName name="IQ_MEASURED_RESOURCES_CALORIFIC_VALUE_COAL" hidden="1">"c9806"</definedName>
    <definedName name="IQ_MEASURED_RESOURCES_CALORIFIC_VALUE_MET_COAL" hidden="1">"c9746"</definedName>
    <definedName name="IQ_MEASURED_RESOURCES_CALORIFIC_VALUE_STEAM" hidden="1">"c9776"</definedName>
    <definedName name="IQ_MEASURED_RESOURCES_GRADE_ALUM" hidden="1">"c9223"</definedName>
    <definedName name="IQ_MEASURED_RESOURCES_GRADE_COP" hidden="1">"c9167"</definedName>
    <definedName name="IQ_MEASURED_RESOURCES_GRADE_DIAM" hidden="1">"c9647"</definedName>
    <definedName name="IQ_MEASURED_RESOURCES_GRADE_GOLD" hidden="1">"c9008"</definedName>
    <definedName name="IQ_MEASURED_RESOURCES_GRADE_IRON" hidden="1">"c9382"</definedName>
    <definedName name="IQ_MEASURED_RESOURCES_GRADE_LEAD" hidden="1">"c9435"</definedName>
    <definedName name="IQ_MEASURED_RESOURCES_GRADE_MANG" hidden="1">"c9488"</definedName>
    <definedName name="IQ_MEASURED_RESOURCES_GRADE_MOLYB" hidden="1">"c9700"</definedName>
    <definedName name="IQ_MEASURED_RESOURCES_GRADE_NICK" hidden="1">"c9276"</definedName>
    <definedName name="IQ_MEASURED_RESOURCES_GRADE_PLAT" hidden="1">"c9114"</definedName>
    <definedName name="IQ_MEASURED_RESOURCES_GRADE_SILVER" hidden="1">"c9061"</definedName>
    <definedName name="IQ_MEASURED_RESOURCES_GRADE_TITAN" hidden="1">"c9541"</definedName>
    <definedName name="IQ_MEASURED_RESOURCES_GRADE_URAN" hidden="1">"c9594"</definedName>
    <definedName name="IQ_MEASURED_RESOURCES_GRADE_ZINC" hidden="1">"c9329"</definedName>
    <definedName name="IQ_MEDIAN_NEW_HOME_SALES_APR_FC_UNUSED" hidden="1">"c8460"</definedName>
    <definedName name="IQ_MEDIAN_NEW_HOME_SALES_APR_FC_UNUSED_UNUSED_UNUSED" hidden="1">"c8460"</definedName>
    <definedName name="IQ_MEDIAN_NEW_HOME_SALES_APR_UNUSED" hidden="1">"c7580"</definedName>
    <definedName name="IQ_MEDIAN_NEW_HOME_SALES_APR_UNUSED_UNUSED_UNUSED" hidden="1">"c7580"</definedName>
    <definedName name="IQ_MEDIAN_NEW_HOME_SALES_FC_UNUSED" hidden="1">"c7800"</definedName>
    <definedName name="IQ_MEDIAN_NEW_HOME_SALES_FC_UNUSED_UNUSED_UNUSED" hidden="1">"c7800"</definedName>
    <definedName name="IQ_MEDIAN_NEW_HOME_SALES_POP_FC_UNUSED" hidden="1">"c8020"</definedName>
    <definedName name="IQ_MEDIAN_NEW_HOME_SALES_POP_FC_UNUSED_UNUSED_UNUSED" hidden="1">"c8020"</definedName>
    <definedName name="IQ_MEDIAN_NEW_HOME_SALES_POP_UNUSED" hidden="1">"c7140"</definedName>
    <definedName name="IQ_MEDIAN_NEW_HOME_SALES_POP_UNUSED_UNUSED_UNUSED" hidden="1">"c7140"</definedName>
    <definedName name="IQ_MEDIAN_NEW_HOME_SALES_UNUSED" hidden="1">"c6920"</definedName>
    <definedName name="IQ_MEDIAN_NEW_HOME_SALES_UNUSED_UNUSED_UNUSED" hidden="1">"c6920"</definedName>
    <definedName name="IQ_MEDIAN_NEW_HOME_SALES_YOY_FC_UNUSED" hidden="1">"c8240"</definedName>
    <definedName name="IQ_MEDIAN_NEW_HOME_SALES_YOY_FC_UNUSED_UNUSED_UNUSED" hidden="1">"c8240"</definedName>
    <definedName name="IQ_MEDIAN_NEW_HOME_SALES_YOY_UNUSED" hidden="1">"c7360"</definedName>
    <definedName name="IQ_MEDIAN_NEW_HOME_SALES_YOY_UNUSED_UNUSED_UNUSED" hidden="1">"c7360"</definedName>
    <definedName name="IQ_MEDIAN_TARGET_PRICE" hidden="1">"c1650"</definedName>
    <definedName name="IQ_MEDIAN_TARGET_PRICE_CIQ" hidden="1">"c4658"</definedName>
    <definedName name="IQ_MEDIAN_TARGET_PRICE_REUT" hidden="1">"c5316"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" hidden="1">"c6235"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" hidden="1">"c6236"</definedName>
    <definedName name="IQ_MERGER_RESTRUCTURE_REIT" hidden="1">"c724"</definedName>
    <definedName name="IQ_MERGER_RESTRUCTURE_UTI" hidden="1">"c725"</definedName>
    <definedName name="IQ_MERGER_UTI" hidden="1">"c726"</definedName>
    <definedName name="IQ_MI_RECOV_ATTRIB_RESOURCES_ALUM" hidden="1">"c9244"</definedName>
    <definedName name="IQ_MI_RECOV_ATTRIB_RESOURCES_COAL" hidden="1">"c9818"</definedName>
    <definedName name="IQ_MI_RECOV_ATTRIB_RESOURCES_COP" hidden="1">"c9188"</definedName>
    <definedName name="IQ_MI_RECOV_ATTRIB_RESOURCES_DIAM" hidden="1">"c9668"</definedName>
    <definedName name="IQ_MI_RECOV_ATTRIB_RESOURCES_GOLD" hidden="1">"c9029"</definedName>
    <definedName name="IQ_MI_RECOV_ATTRIB_RESOURCES_IRON" hidden="1">"c9403"</definedName>
    <definedName name="IQ_MI_RECOV_ATTRIB_RESOURCES_LEAD" hidden="1">"c9456"</definedName>
    <definedName name="IQ_MI_RECOV_ATTRIB_RESOURCES_MANG" hidden="1">"c9509"</definedName>
    <definedName name="IQ_MI_RECOV_ATTRIB_RESOURCES_MET_COAL" hidden="1">"c9758"</definedName>
    <definedName name="IQ_MI_RECOV_ATTRIB_RESOURCES_MOLYB" hidden="1">"c9721"</definedName>
    <definedName name="IQ_MI_RECOV_ATTRIB_RESOURCES_NICK" hidden="1">"c9297"</definedName>
    <definedName name="IQ_MI_RECOV_ATTRIB_RESOURCES_PLAT" hidden="1">"c9135"</definedName>
    <definedName name="IQ_MI_RECOV_ATTRIB_RESOURCES_SILVER" hidden="1">"c9082"</definedName>
    <definedName name="IQ_MI_RECOV_ATTRIB_RESOURCES_STEAM" hidden="1">"c9788"</definedName>
    <definedName name="IQ_MI_RECOV_ATTRIB_RESOURCES_TITAN" hidden="1">"c9562"</definedName>
    <definedName name="IQ_MI_RECOV_ATTRIB_RESOURCES_URAN" hidden="1">"c9615"</definedName>
    <definedName name="IQ_MI_RECOV_ATTRIB_RESOURCES_ZINC" hidden="1">"c9350"</definedName>
    <definedName name="IQ_MI_RESOURCES_CALORIFIC_VALUE_COAL" hidden="1">"c9808"</definedName>
    <definedName name="IQ_MI_RESOURCES_CALORIFIC_VALUE_MET_COAL" hidden="1">"c9748"</definedName>
    <definedName name="IQ_MI_RESOURCES_CALORIFIC_VALUE_STEAM" hidden="1">"c9778"</definedName>
    <definedName name="IQ_MINORITY_INT_AVG_ASSETS_FFIEC" hidden="1">"c13367"</definedName>
    <definedName name="IQ_MINORITY_INT_BS_FFIEC" hidden="1">"c12874"</definedName>
    <definedName name="IQ_MINORITY_INT_FFIEC" hidden="1">"c13031"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" hidden="1">"c6237"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CIQ" hidden="1">"c4041"</definedName>
    <definedName name="IQ_MKTCAP_TOTAL_REV_FWD_REUT" hidden="1">"c4048"</definedName>
    <definedName name="IQ_MM_ACCOUNT" hidden="1">"c743"</definedName>
    <definedName name="IQ_MM_ACCRETION_EXPENSE" hidden="1">"c9845"</definedName>
    <definedName name="IQ_MM_ARO_BEG" hidden="1">"c9842"</definedName>
    <definedName name="IQ_MM_ARO_TOTAL" hidden="1">"c9850"</definedName>
    <definedName name="IQ_MM_CURRENT_PORT_ARO" hidden="1">"c9851"</definedName>
    <definedName name="IQ_MM_DEVELOPED_ACREAGE" hidden="1">"c9832"</definedName>
    <definedName name="IQ_MM_DEVELOPED_SQ_KMS" hidden="1">"c9831"</definedName>
    <definedName name="IQ_MM_DEVELOPED_SQ_MILES" hidden="1">"c9833"</definedName>
    <definedName name="IQ_MM_EXPLORATION_EXPENDITURE_TOT" hidden="1">"c9840"</definedName>
    <definedName name="IQ_MM_FX_ADJUSTMENT" hidden="1">"c9847"</definedName>
    <definedName name="IQ_MM_LIABILITIES_INCURRED_ACQUIRED" hidden="1">"c9843"</definedName>
    <definedName name="IQ_MM_LIABILITIES_REL_SPIN_OFFS" hidden="1">"c9848"</definedName>
    <definedName name="IQ_MM_LIABILITIES_SETTLED_DISPOSED" hidden="1">"c9844"</definedName>
    <definedName name="IQ_MM_NON_CURRENT_PORT_ARO" hidden="1">"c9852"</definedName>
    <definedName name="IQ_MM_NUMBER_MINES" hidden="1">"c9839"</definedName>
    <definedName name="IQ_MM_OTHER_ADJUSTMENTS_ARO" hidden="1">"c9849"</definedName>
    <definedName name="IQ_MM_REMAINING_MINE_LIFE" hidden="1">"c9838"</definedName>
    <definedName name="IQ_MM_RESOURCES_INCL_EXCL_RESERVES" hidden="1">"c9841"</definedName>
    <definedName name="IQ_MM_REVISIONS_ESTIMATE" hidden="1">"c9846"</definedName>
    <definedName name="IQ_MM_STRIPPING_RATIO" hidden="1">"c9837"</definedName>
    <definedName name="IQ_MM_UNDEVELOPED_ACREAGE" hidden="1">"c9835"</definedName>
    <definedName name="IQ_MM_UNDEVELOPED_SQ_KMS" hidden="1">"c9834"</definedName>
    <definedName name="IQ_MM_UNDEVELOPED_SQ_MILES" hidden="1">"c9836"</definedName>
    <definedName name="IQ_MONEY_MARKET_ACCOUNTS_COMMERCIAL_BANK_SUBS_FFIEC" hidden="1">"c12947"</definedName>
    <definedName name="IQ_MONEY_MARKET_ACCOUNTS_OTHER_INSTITUTIONS_FFIEC" hidden="1">"c12952"</definedName>
    <definedName name="IQ_MONEY_MARKET_DEPOSIT_ACCOUNTS_FDIC" hidden="1">"c6553"</definedName>
    <definedName name="IQ_MONTH" hidden="1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BACKED_SECURITIES_FDIC" hidden="1">"c6402"</definedName>
    <definedName name="IQ_MORTGAGE_SERV_RIGHTS" hidden="1">"c2242"</definedName>
    <definedName name="IQ_MORTGAGE_SERVICING_ASSETS_FFIEC" hidden="1">"c12838"</definedName>
    <definedName name="IQ_MORTGAGE_SERVICING_FDIC" hidden="1">"c6335"</definedName>
    <definedName name="IQ_MTD" hidden="1">800000</definedName>
    <definedName name="IQ_MULTI_RES_PROPERTIES_TRADING_DOM_FFIEC" hidden="1">"c12930"</definedName>
    <definedName name="IQ_MULTIFAMILY_LOANS_GROSS_LOANS_FFIEC" hidden="1">"c13404"</definedName>
    <definedName name="IQ_MULTIFAMILY_LOANS_RISK_BASED_FFIEC" hidden="1">"c13425"</definedName>
    <definedName name="IQ_MULTIFAMILY_RESIDENTIAL_LOANS_FDIC" hidden="1">"c6311"</definedName>
    <definedName name="IQ_MUNICIPAL_INVEST_SECURITIES_FFIEC" hidden="1">"c13459"</definedName>
    <definedName name="IQ_NAMES_REVISION_DATE_" hidden="1">40512.6781597222</definedName>
    <definedName name="IQ_NAPM_BUS_CONDITIONS" hidden="1">"c6921"</definedName>
    <definedName name="IQ_NAPM_BUS_CONDITIONS_APR" hidden="1">"c7581"</definedName>
    <definedName name="IQ_NAPM_BUS_CONDITIONS_APR_FC" hidden="1">"c8461"</definedName>
    <definedName name="IQ_NAPM_BUS_CONDITIONS_FC" hidden="1">"c7801"</definedName>
    <definedName name="IQ_NAPM_BUS_CONDITIONS_POP" hidden="1">"c7141"</definedName>
    <definedName name="IQ_NAPM_BUS_CONDITIONS_POP_FC" hidden="1">"c8021"</definedName>
    <definedName name="IQ_NAPM_BUS_CONDITIONS_YOY" hidden="1">"c7361"</definedName>
    <definedName name="IQ_NAPM_BUS_CONDITIONS_YOY_FC" hidden="1">"c8241"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GATIVE_FAIR_VALUE_DERIVATIVES_BENEFICIARY_FFIEC" hidden="1">"c13124"</definedName>
    <definedName name="IQ_NEGATIVE_FAIR_VALUE_DERIVATIVES_GUARANTOR_FFIEC" hidden="1">"c13117"</definedName>
    <definedName name="IQ_NET_CHANGE" hidden="1">"c749"</definedName>
    <definedName name="IQ_NET_CHARGE_OFFS_FDIC" hidden="1">"c6641"</definedName>
    <definedName name="IQ_NET_CHARGE_OFFS_LOANS_FDIC" hidden="1">"c6751"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ACT_OR_EST" hidden="1">"c3583"</definedName>
    <definedName name="IQ_NET_DEBT_ACT_OR_EST_REUT" hidden="1">"c5473"</definedName>
    <definedName name="IQ_NET_DEBT_EBITDA" hidden="1">"c750"</definedName>
    <definedName name="IQ_NET_DEBT_EBITDA_CAPEX" hidden="1">"c2949"</definedName>
    <definedName name="IQ_NET_DEBT_EST" hidden="1">"c3517"</definedName>
    <definedName name="IQ_NET_DEBT_EST_REUT" hidden="1">"c3976"</definedName>
    <definedName name="IQ_NET_DEBT_GUIDANCE" hidden="1">"c4467"</definedName>
    <definedName name="IQ_NET_DEBT_HIGH_EST" hidden="1">"c3518"</definedName>
    <definedName name="IQ_NET_DEBT_HIGH_EST_REUT" hidden="1">"c3978"</definedName>
    <definedName name="IQ_NET_DEBT_HIGH_GUIDANCE" hidden="1">"c4181"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" hidden="1">"c6238"</definedName>
    <definedName name="IQ_NET_DEBT_ISSUED_REIT" hidden="1">"c756"</definedName>
    <definedName name="IQ_NET_DEBT_ISSUED_UTI" hidden="1">"c757"</definedName>
    <definedName name="IQ_NET_DEBT_LOW_EST" hidden="1">"c3519"</definedName>
    <definedName name="IQ_NET_DEBT_LOW_EST_REUT" hidden="1">"c3979"</definedName>
    <definedName name="IQ_NET_DEBT_LOW_GUIDANCE" hidden="1">"c4221"</definedName>
    <definedName name="IQ_NET_DEBT_MEDIAN_EST" hidden="1">"c3520"</definedName>
    <definedName name="IQ_NET_DEBT_MEDIAN_EST_REUT" hidden="1">"c3977"</definedName>
    <definedName name="IQ_NET_DEBT_NUM_EST" hidden="1">"c3515"</definedName>
    <definedName name="IQ_NET_DEBT_NUM_EST_REUT" hidden="1">"c3980"</definedName>
    <definedName name="IQ_NET_DEBT_STDDEV_EST" hidden="1">"c3516"</definedName>
    <definedName name="IQ_NET_DEBT_STDDEV_EST_REUT" hidden="1">"c3981"</definedName>
    <definedName name="IQ_NET_EARNED" hidden="1">"c2734"</definedName>
    <definedName name="IQ_NET_FUNDS_PURCHASED_ASSETS_TOT_FFIEC" hidden="1">"c13448"</definedName>
    <definedName name="IQ_NET_INC" hidden="1">"c1394"</definedName>
    <definedName name="IQ_NET_INC_10K" hidden="1">"IQ_NET_INC_10K"</definedName>
    <definedName name="IQ_NET_INC_10Q" hidden="1">"IQ_NET_INC_10Q"</definedName>
    <definedName name="IQ_NET_INC_10Q1" hidden="1">"IQ_NET_INC_10Q1"</definedName>
    <definedName name="IQ_NET_INC_BEFORE" hidden="1">"c1368"</definedName>
    <definedName name="IQ_NET_INC_CF" hidden="1">"c1397"</definedName>
    <definedName name="IQ_NET_INC_GROWTH_1" hidden="1">"IQ_NET_INC_GROWTH_1"</definedName>
    <definedName name="IQ_NET_INC_GROWTH_2" hidden="1">"IQ_NET_INC_GROWTH_2"</definedName>
    <definedName name="IQ_NET_INC_MARGIN" hidden="1">"c1398"</definedName>
    <definedName name="IQ_NET_INCOME_FDIC" hidden="1">"c6587"</definedName>
    <definedName name="IQ_NET_INCOME_LH_FFIEC" hidden="1">"c13110"</definedName>
    <definedName name="IQ_NET_INCOME_PC_FFIEC" hidden="1">"c13103"</definedName>
    <definedName name="IQ_NET_INCOME_SHE_FFIEC" hidden="1">"c12960"</definedName>
    <definedName name="IQ_NET_INT_INC_10YR_ANN_CAGR" hidden="1">"c6100"</definedName>
    <definedName name="IQ_NET_INT_INC_10YR_ANN_GROWTH" hidden="1">"c758"</definedName>
    <definedName name="IQ_NET_INT_INC_1YR_ANN_GROWTH" hidden="1">"c759"</definedName>
    <definedName name="IQ_NET_INT_INC_2YR_ANN_CAGR" hidden="1">"c6101"</definedName>
    <definedName name="IQ_NET_INT_INC_2YR_ANN_GROWTH" hidden="1">"c760"</definedName>
    <definedName name="IQ_NET_INT_INC_3YR_ANN_CAGR" hidden="1">"c6102"</definedName>
    <definedName name="IQ_NET_INT_INC_3YR_ANN_GROWTH" hidden="1">"c761"</definedName>
    <definedName name="IQ_NET_INT_INC_5YR_ANN_CAGR" hidden="1">"c6103"</definedName>
    <definedName name="IQ_NET_INT_INC_5YR_ANN_GROWTH" hidden="1">"c762"</definedName>
    <definedName name="IQ_NET_INT_INC_7YR_ANN_CAGR" hidden="1">"c6104"</definedName>
    <definedName name="IQ_NET_INT_INC_7YR_ANN_GROWTH" hidden="1">"c763"</definedName>
    <definedName name="IQ_NET_INT_INC_AFTER_LL_BNK_SUBTOTAL_AP" hidden="1">"c8979"</definedName>
    <definedName name="IQ_NET_INT_INC_BNK" hidden="1">"c764"</definedName>
    <definedName name="IQ_NET_INT_INC_BNK_AP" hidden="1">"c8874"</definedName>
    <definedName name="IQ_NET_INT_INC_BNK_AP_ABS" hidden="1">"c8893"</definedName>
    <definedName name="IQ_NET_INT_INC_BNK_FDIC" hidden="1">"c6570"</definedName>
    <definedName name="IQ_NET_INT_INC_BNK_NAME_AP" hidden="1">"c8912"</definedName>
    <definedName name="IQ_NET_INT_INC_BNK_NAME_AP_ABS" hidden="1">"c8931"</definedName>
    <definedName name="IQ_NET_INT_INC_BNK_SUBTOTAL_AP" hidden="1">"c8978"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INCOME_FFIEC" hidden="1">"c13001"</definedName>
    <definedName name="IQ_NET_INT_INCOME_FTE_FFIEC" hidden="1">"c13036"</definedName>
    <definedName name="IQ_NET_INT_MARGIN" hidden="1">"c768"</definedName>
    <definedName name="IQ_NET_INTEREST_EXP" hidden="1">"c769"</definedName>
    <definedName name="IQ_NET_INTEREST_EXP_RE" hidden="1">"c6239"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INTEREST_MARGIN_FDIC" hidden="1">"c6726"</definedName>
    <definedName name="IQ_NET_LIFE_INS_IN_FORCE" hidden="1">"c2769"</definedName>
    <definedName name="IQ_NET_LOANS" hidden="1">"c772"</definedName>
    <definedName name="IQ_NET_LOANS_10YR_ANN_CAGR" hidden="1">"c6105"</definedName>
    <definedName name="IQ_NET_LOANS_10YR_ANN_GROWTH" hidden="1">"c773"</definedName>
    <definedName name="IQ_NET_LOANS_1YR_ANN_GROWTH" hidden="1">"c774"</definedName>
    <definedName name="IQ_NET_LOANS_2YR_ANN_CAGR" hidden="1">"c6106"</definedName>
    <definedName name="IQ_NET_LOANS_2YR_ANN_GROWTH" hidden="1">"c775"</definedName>
    <definedName name="IQ_NET_LOANS_3YR_ANN_CAGR" hidden="1">"c6107"</definedName>
    <definedName name="IQ_NET_LOANS_3YR_ANN_GROWTH" hidden="1">"c776"</definedName>
    <definedName name="IQ_NET_LOANS_5YR_ANN_CAGR" hidden="1">"c6108"</definedName>
    <definedName name="IQ_NET_LOANS_5YR_ANN_GROWTH" hidden="1">"c777"</definedName>
    <definedName name="IQ_NET_LOANS_7YR_ANN_CAGR" hidden="1">"c6109"</definedName>
    <definedName name="IQ_NET_LOANS_7YR_ANN_GROWTH" hidden="1">"c778"</definedName>
    <definedName name="IQ_NET_LOANS_CORE_DEPOSITS_FFIEC" hidden="1">"c13341"</definedName>
    <definedName name="IQ_NET_LOANS_DEPOSITS_FFIEC" hidden="1">"c13340"</definedName>
    <definedName name="IQ_NET_LOANS_EQUITY_FFIEC" hidden="1">"c13347"</definedName>
    <definedName name="IQ_NET_LOANS_LEASES_CORE_DEPOSITS_FDIC" hidden="1">"c6743"</definedName>
    <definedName name="IQ_NET_LOANS_LEASES_DEPOSITS_FDIC" hidden="1">"c6742"</definedName>
    <definedName name="IQ_NET_LOANS_TOTAL_DEPOSITS" hidden="1">"c779"</definedName>
    <definedName name="IQ_NET_OPERATING_INCOME_ASSETS_FDIC" hidden="1">"c6729"</definedName>
    <definedName name="IQ_NET_RENTAL_EXP_FN" hidden="1">"c780"</definedName>
    <definedName name="IQ_NET_SECURITIZATION_INCOME_FDIC" hidden="1">"c6669"</definedName>
    <definedName name="IQ_NET_SERVICING_FEES_FDIC" hidden="1">"c6668"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EXT_YR_PROD_EST_MAX_ALUM" hidden="1">"c9251"</definedName>
    <definedName name="IQ_NEXT_YR_PROD_EST_MAX_CATHODE_COP" hidden="1">"c9198"</definedName>
    <definedName name="IQ_NEXT_YR_PROD_EST_MAX_COP" hidden="1">"c9196"</definedName>
    <definedName name="IQ_NEXT_YR_PROD_EST_MAX_DIAM" hidden="1">"c9675"</definedName>
    <definedName name="IQ_NEXT_YR_PROD_EST_MAX_GOLD" hidden="1">"c9036"</definedName>
    <definedName name="IQ_NEXT_YR_PROD_EST_MAX_IRON" hidden="1">"c9410"</definedName>
    <definedName name="IQ_NEXT_YR_PROD_EST_MAX_LEAD" hidden="1">"c9463"</definedName>
    <definedName name="IQ_NEXT_YR_PROD_EST_MAX_MANG" hidden="1">"c9516"</definedName>
    <definedName name="IQ_NEXT_YR_PROD_EST_MAX_MOLYB" hidden="1">"c9728"</definedName>
    <definedName name="IQ_NEXT_YR_PROD_EST_MAX_NICK" hidden="1">"c9304"</definedName>
    <definedName name="IQ_NEXT_YR_PROD_EST_MAX_PLAT" hidden="1">"c9142"</definedName>
    <definedName name="IQ_NEXT_YR_PROD_EST_MAX_SILVER" hidden="1">"c9089"</definedName>
    <definedName name="IQ_NEXT_YR_PROD_EST_MAX_TITAN" hidden="1">"c9569"</definedName>
    <definedName name="IQ_NEXT_YR_PROD_EST_MAX_URAN" hidden="1">"c9622"</definedName>
    <definedName name="IQ_NEXT_YR_PROD_EST_MAX_ZINC" hidden="1">"c9357"</definedName>
    <definedName name="IQ_NEXT_YR_PROD_EST_MIN_ALUM" hidden="1">"c9250"</definedName>
    <definedName name="IQ_NEXT_YR_PROD_EST_MIN_CATHODE_COP" hidden="1">"c9197"</definedName>
    <definedName name="IQ_NEXT_YR_PROD_EST_MIN_COP" hidden="1">"c9195"</definedName>
    <definedName name="IQ_NEXT_YR_PROD_EST_MIN_DIAM" hidden="1">"c9674"</definedName>
    <definedName name="IQ_NEXT_YR_PROD_EST_MIN_GOLD" hidden="1">"c9035"</definedName>
    <definedName name="IQ_NEXT_YR_PROD_EST_MIN_IRON" hidden="1">"c9409"</definedName>
    <definedName name="IQ_NEXT_YR_PROD_EST_MIN_LEAD" hidden="1">"c9462"</definedName>
    <definedName name="IQ_NEXT_YR_PROD_EST_MIN_MANG" hidden="1">"c9515"</definedName>
    <definedName name="IQ_NEXT_YR_PROD_EST_MIN_MOLYB" hidden="1">"c9727"</definedName>
    <definedName name="IQ_NEXT_YR_PROD_EST_MIN_NICK" hidden="1">"c9303"</definedName>
    <definedName name="IQ_NEXT_YR_PROD_EST_MIN_PLAT" hidden="1">"c9141"</definedName>
    <definedName name="IQ_NEXT_YR_PROD_EST_MIN_SILVER" hidden="1">"c9088"</definedName>
    <definedName name="IQ_NEXT_YR_PROD_EST_MIN_TITAN" hidden="1">"c9568"</definedName>
    <definedName name="IQ_NEXT_YR_PROD_EST_MIN_URAN" hidden="1">"c9621"</definedName>
    <definedName name="IQ_NEXT_YR_PROD_EST_MIN_ZINC" hidden="1">"c9356"</definedName>
    <definedName name="IQ_NI" hidden="1">"c781"</definedName>
    <definedName name="IQ_NI_10YR_ANN_CAGR" hidden="1">"c6110"</definedName>
    <definedName name="IQ_NI_10YR_ANN_GROWTH" hidden="1">"c782"</definedName>
    <definedName name="IQ_NI_1YR_ANN_GROWTH" hidden="1">"c783"</definedName>
    <definedName name="IQ_NI_2YR_ANN_CAGR" hidden="1">"c6111"</definedName>
    <definedName name="IQ_NI_2YR_ANN_GROWTH" hidden="1">"c784"</definedName>
    <definedName name="IQ_NI_3YR_ANN_CAGR" hidden="1">"c6112"</definedName>
    <definedName name="IQ_NI_3YR_ANN_GROWTH" hidden="1">"c785"</definedName>
    <definedName name="IQ_NI_5YR_ANN_CAGR" hidden="1">"c6113"</definedName>
    <definedName name="IQ_NI_5YR_ANN_GROWTH" hidden="1">"c786"</definedName>
    <definedName name="IQ_NI_7YR_ANN_CAGR" hidden="1">"c6114"</definedName>
    <definedName name="IQ_NI_7YR_ANN_GROWTH" hidden="1">"c787"</definedName>
    <definedName name="IQ_NI_ACT_OR_EST" hidden="1">"c2222"</definedName>
    <definedName name="IQ_NI_ACT_OR_EST_REUT" hidden="1">"c5468"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AVAIL_SUBTOTAL_AP" hidden="1">"c8984"</definedName>
    <definedName name="IQ_NI_AVG_ASSETS_FFIEC" hidden="1">"c13370"</definedName>
    <definedName name="IQ_NI_BEFORE_CAPITALIZED" hidden="1">"c792"</definedName>
    <definedName name="IQ_NI_CF" hidden="1">"c793"</definedName>
    <definedName name="IQ_NI_CHARGES_AP" hidden="1">"c8879"</definedName>
    <definedName name="IQ_NI_CHARGES_AP_ABS" hidden="1">"c8898"</definedName>
    <definedName name="IQ_NI_CHARGES_NAME_AP" hidden="1">"c8917"</definedName>
    <definedName name="IQ_NI_CHARGES_NAME_AP_ABS" hidden="1">"c8936"</definedName>
    <definedName name="IQ_NI_EST" hidden="1">"c1716"</definedName>
    <definedName name="IQ_NI_EST_REUT" hidden="1">"c5368"</definedName>
    <definedName name="IQ_NI_FFIEC" hidden="1">"c13034"</definedName>
    <definedName name="IQ_NI_GAAP_GUIDANCE" hidden="1">"c4470"</definedName>
    <definedName name="IQ_NI_GAAP_HIGH_GUIDANCE" hidden="1">"c4177"</definedName>
    <definedName name="IQ_NI_GAAP_LOW_GUIDANCE" hidden="1">"c4217"</definedName>
    <definedName name="IQ_NI_GUIDANCE" hidden="1">"c4469"</definedName>
    <definedName name="IQ_NI_GW_EST" hidden="1">"c1723"</definedName>
    <definedName name="IQ_NI_GW_EST_REUT" hidden="1">"c5375"</definedName>
    <definedName name="IQ_NI_GW_GUIDANCE" hidden="1">"c4471"</definedName>
    <definedName name="IQ_NI_GW_HIGH_EST" hidden="1">"c1725"</definedName>
    <definedName name="IQ_NI_GW_HIGH_EST_REUT" hidden="1">"c5377"</definedName>
    <definedName name="IQ_NI_GW_HIGH_GUIDANCE" hidden="1">"c4178"</definedName>
    <definedName name="IQ_NI_GW_LOW_EST" hidden="1">"c1726"</definedName>
    <definedName name="IQ_NI_GW_LOW_EST_REUT" hidden="1">"c5378"</definedName>
    <definedName name="IQ_NI_GW_LOW_GUIDANCE" hidden="1">"c4218"</definedName>
    <definedName name="IQ_NI_GW_MEDIAN_EST" hidden="1">"c1724"</definedName>
    <definedName name="IQ_NI_GW_MEDIAN_EST_REUT" hidden="1">"c5376"</definedName>
    <definedName name="IQ_NI_GW_NUM_EST" hidden="1">"c1727"</definedName>
    <definedName name="IQ_NI_GW_NUM_EST_REUT" hidden="1">"c5379"</definedName>
    <definedName name="IQ_NI_GW_STDDEV_EST" hidden="1">"c1728"</definedName>
    <definedName name="IQ_NI_GW_STDDEV_EST_REUT" hidden="1">"c5380"</definedName>
    <definedName name="IQ_NI_HIGH_EST" hidden="1">"c1718"</definedName>
    <definedName name="IQ_NI_HIGH_EST_REUT" hidden="1">"c5370"</definedName>
    <definedName name="IQ_NI_HIGH_GUIDANCE" hidden="1">"c4176"</definedName>
    <definedName name="IQ_NI_LOW_EST" hidden="1">"c1719"</definedName>
    <definedName name="IQ_NI_LOW_EST_REUT" hidden="1">"c5371"</definedName>
    <definedName name="IQ_NI_LOW_GUIDANCE" hidden="1">"c4216"</definedName>
    <definedName name="IQ_NI_MARGIN" hidden="1">"c794"</definedName>
    <definedName name="IQ_NI_MEDIAN_EST" hidden="1">"c1717"</definedName>
    <definedName name="IQ_NI_MEDIAN_EST_REUT" hidden="1">"c5369"</definedName>
    <definedName name="IQ_NI_NORM" hidden="1">"c1901"</definedName>
    <definedName name="IQ_NI_NORM_10YR_ANN_CAGR" hidden="1">"c6189"</definedName>
    <definedName name="IQ_NI_NORM_10YR_ANN_GROWTH" hidden="1">"c1960"</definedName>
    <definedName name="IQ_NI_NORM_1YR_ANN_GROWTH" hidden="1">"c1955"</definedName>
    <definedName name="IQ_NI_NORM_2YR_ANN_CAGR" hidden="1">"c6185"</definedName>
    <definedName name="IQ_NI_NORM_2YR_ANN_GROWTH" hidden="1">"c1956"</definedName>
    <definedName name="IQ_NI_NORM_3YR_ANN_CAGR" hidden="1">"c6186"</definedName>
    <definedName name="IQ_NI_NORM_3YR_ANN_GROWTH" hidden="1">"c1957"</definedName>
    <definedName name="IQ_NI_NORM_5YR_ANN_CAGR" hidden="1">"c6187"</definedName>
    <definedName name="IQ_NI_NORM_5YR_ANN_GROWTH" hidden="1">"c1958"</definedName>
    <definedName name="IQ_NI_NORM_7YR_ANN_CAGR" hidden="1">"c6188"</definedName>
    <definedName name="IQ_NI_NORM_7YR_ANN_GROWTH" hidden="1">"c1959"</definedName>
    <definedName name="IQ_NI_NORM_MARGIN" hidden="1">"c1964"</definedName>
    <definedName name="IQ_NI_NUM_EST" hidden="1">"c1720"</definedName>
    <definedName name="IQ_NI_NUM_EST_REUT" hidden="1">"c5372"</definedName>
    <definedName name="IQ_NI_REPORTED_EST" hidden="1">"c1730"</definedName>
    <definedName name="IQ_NI_REPORTED_EST_REUT" hidden="1">"c5382"</definedName>
    <definedName name="IQ_NI_REPORTED_HIGH_EST" hidden="1">"c1732"</definedName>
    <definedName name="IQ_NI_REPORTED_HIGH_EST_REUT" hidden="1">"c5384"</definedName>
    <definedName name="IQ_NI_REPORTED_LOW_EST" hidden="1">"c1733"</definedName>
    <definedName name="IQ_NI_REPORTED_LOW_EST_REUT" hidden="1">"c5385"</definedName>
    <definedName name="IQ_NI_REPORTED_MEDIAN_EST" hidden="1">"c1731"</definedName>
    <definedName name="IQ_NI_REPORTED_MEDIAN_EST_REUT" hidden="1">"c5383"</definedName>
    <definedName name="IQ_NI_REPORTED_NUM_EST" hidden="1">"c1734"</definedName>
    <definedName name="IQ_NI_REPORTED_NUM_EST_REUT" hidden="1">"c5386"</definedName>
    <definedName name="IQ_NI_REPORTED_STDDEV_EST" hidden="1">"c1735"</definedName>
    <definedName name="IQ_NI_REPORTED_STDDEV_EST_REUT" hidden="1">"c5387"</definedName>
    <definedName name="IQ_NI_SBC_ACT_OR_EST" hidden="1">"c4474"</definedName>
    <definedName name="IQ_NI_SBC_ACT_OR_EST_CIQ" hidden="1">"c5012"</definedName>
    <definedName name="IQ_NI_SBC_EST" hidden="1">"c4473"</definedName>
    <definedName name="IQ_NI_SBC_GUIDANCE" hidden="1">"c4475"</definedName>
    <definedName name="IQ_NI_SBC_GW_ACT_OR_EST" hidden="1">"c4478"</definedName>
    <definedName name="IQ_NI_SBC_GW_ACT_OR_EST_CIQ" hidden="1">"c5016"</definedName>
    <definedName name="IQ_NI_SBC_GW_EST" hidden="1">"c4477"</definedName>
    <definedName name="IQ_NI_SBC_GW_GUIDANCE" hidden="1">"c4479"</definedName>
    <definedName name="IQ_NI_SBC_GW_HIGH_EST" hidden="1">"c4480"</definedName>
    <definedName name="IQ_NI_SBC_GW_HIGH_GUIDANCE" hidden="1">"c4187"</definedName>
    <definedName name="IQ_NI_SBC_GW_LOW_EST" hidden="1">"c4481"</definedName>
    <definedName name="IQ_NI_SBC_GW_LOW_GUIDANCE" hidden="1">"c4227"</definedName>
    <definedName name="IQ_NI_SBC_GW_MEDIAN_EST" hidden="1">"c4482"</definedName>
    <definedName name="IQ_NI_SBC_GW_NUM_EST" hidden="1">"c4483"</definedName>
    <definedName name="IQ_NI_SBC_GW_STDDEV_EST" hidden="1">"c4484"</definedName>
    <definedName name="IQ_NI_SBC_HIGH_EST" hidden="1">"c4486"</definedName>
    <definedName name="IQ_NI_SBC_HIGH_GUIDANCE" hidden="1">"c4186"</definedName>
    <definedName name="IQ_NI_SBC_LOW_EST" hidden="1">"c4487"</definedName>
    <definedName name="IQ_NI_SBC_LOW_GUIDANCE" hidden="1">"c4226"</definedName>
    <definedName name="IQ_NI_SBC_MEDIAN_EST" hidden="1">"c4488"</definedName>
    <definedName name="IQ_NI_SBC_NUM_EST" hidden="1">"c4489"</definedName>
    <definedName name="IQ_NI_SBC_STDDEV_EST" hidden="1">"c4490"</definedName>
    <definedName name="IQ_NI_SFAS" hidden="1">"c795"</definedName>
    <definedName name="IQ_NI_STDDEV_EST" hidden="1">"c1721"</definedName>
    <definedName name="IQ_NI_STDDEV_EST_REUT" hidden="1">"c5373"</definedName>
    <definedName name="IQ_NI_SUBTOTAL_AP" hidden="1">"c8983"</definedName>
    <definedName name="IQ_NLA_PCT_LEASED_CONSOL" hidden="1">"c8815"</definedName>
    <definedName name="IQ_NLA_PCT_LEASED_MANAGED" hidden="1">"c8817"</definedName>
    <definedName name="IQ_NLA_PCT_LEASED_OTHER" hidden="1">"c8818"</definedName>
    <definedName name="IQ_NLA_PCT_LEASED_TOTAL" hidden="1">"c8819"</definedName>
    <definedName name="IQ_NLA_PCT_LEASED_UNCONSOL" hidden="1">"c8816"</definedName>
    <definedName name="IQ_NLA_SQ_FT_CONSOL" hidden="1">"c8800"</definedName>
    <definedName name="IQ_NLA_SQ_FT_MANAGED" hidden="1">"c8802"</definedName>
    <definedName name="IQ_NLA_SQ_FT_OTHER" hidden="1">"c8803"</definedName>
    <definedName name="IQ_NLA_SQ_FT_TOTAL" hidden="1">"c8804"</definedName>
    <definedName name="IQ_NLA_SQ_FT_UNCONSOL" hidden="1">"c8801"</definedName>
    <definedName name="IQ_NLA_SQ_METER_CONSOL" hidden="1">"c8805"</definedName>
    <definedName name="IQ_NLA_SQ_METER_MANAGED" hidden="1">"c8807"</definedName>
    <definedName name="IQ_NLA_SQ_METER_OTHER" hidden="1">"c8808"</definedName>
    <definedName name="IQ_NLA_SQ_METER_TOTAL" hidden="1">"c8809"</definedName>
    <definedName name="IQ_NLA_SQ_METER_UNCONSOL" hidden="1">"c8806"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_ALLOW_RECEIVABLES_FFIEC" hidden="1">"c13353"</definedName>
    <definedName name="IQ_NON_ACCRUAL_LOANS" hidden="1">"c796"</definedName>
    <definedName name="IQ_NON_CASH" hidden="1">"c1399"</definedName>
    <definedName name="IQ_NON_CASH_ITEMS" hidden="1">"c797"</definedName>
    <definedName name="IQ_NON_FARM_NONRES_PROPERTIES_TRADING_DOM_FFIEC" hidden="1">"c12931"</definedName>
    <definedName name="IQ_NON_INS_EXP" hidden="1">"c798"</definedName>
    <definedName name="IQ_NON_INS_REV" hidden="1">"c799"</definedName>
    <definedName name="IQ_NON_INT_BAL_OTHER_INSTITUTIONS_FFIEC" hidden="1">"c12950"</definedName>
    <definedName name="IQ_NON_INT_BEAR_CD" hidden="1">"c800"</definedName>
    <definedName name="IQ_NON_INT_BEARING_DEPOSITS" hidden="1">"c800"</definedName>
    <definedName name="IQ_NON_INT_DEPOSITS_DOM_FFIEC" hidden="1">"c12851"</definedName>
    <definedName name="IQ_NON_INT_DEPOSITS_FOREIGN_FFIEC" hidden="1">"c12854"</definedName>
    <definedName name="IQ_NON_INT_EXP" hidden="1">"c801"</definedName>
    <definedName name="IQ_NON_INT_EXP_BNK_AP" hidden="1">"c8877"</definedName>
    <definedName name="IQ_NON_INT_EXP_BNK_AP_ABS" hidden="1">"c8896"</definedName>
    <definedName name="IQ_NON_INT_EXP_BNK_NAME_AP" hidden="1">"c8915"</definedName>
    <definedName name="IQ_NON_INT_EXP_BNK_NAME_AP_ABS" hidden="1">"c8934"</definedName>
    <definedName name="IQ_NON_INT_EXP_BNK_SUBTOTAL_AP" hidden="1">"c8981"</definedName>
    <definedName name="IQ_NON_INT_EXP_FDIC" hidden="1">"c6579"</definedName>
    <definedName name="IQ_NON_INT_EXPENSE_FFIEC" hidden="1">"c13028"</definedName>
    <definedName name="IQ_NON_INT_INC" hidden="1">"c802"</definedName>
    <definedName name="IQ_NON_INT_INC_10YR_ANN_CAGR" hidden="1">"c6115"</definedName>
    <definedName name="IQ_NON_INT_INC_10YR_ANN_GROWTH" hidden="1">"c803"</definedName>
    <definedName name="IQ_NON_INT_INC_1YR_ANN_GROWTH" hidden="1">"c804"</definedName>
    <definedName name="IQ_NON_INT_INC_2YR_ANN_CAGR" hidden="1">"c6116"</definedName>
    <definedName name="IQ_NON_INT_INC_2YR_ANN_GROWTH" hidden="1">"c805"</definedName>
    <definedName name="IQ_NON_INT_INC_3YR_ANN_CAGR" hidden="1">"c6117"</definedName>
    <definedName name="IQ_NON_INT_INC_3YR_ANN_GROWTH" hidden="1">"c806"</definedName>
    <definedName name="IQ_NON_INT_INC_5YR_ANN_CAGR" hidden="1">"c6118"</definedName>
    <definedName name="IQ_NON_INT_INC_5YR_ANN_GROWTH" hidden="1">"c807"</definedName>
    <definedName name="IQ_NON_INT_INC_7YR_ANN_CAGR" hidden="1">"c6119"</definedName>
    <definedName name="IQ_NON_INT_INC_7YR_ANN_GROWTH" hidden="1">"c808"</definedName>
    <definedName name="IQ_NON_INT_INC_AVG_ASSETS_FFIEC" hidden="1">"c13359"</definedName>
    <definedName name="IQ_NON_INT_INC_BNK_AP" hidden="1">"c8876"</definedName>
    <definedName name="IQ_NON_INT_INC_BNK_AP_ABS" hidden="1">"c8895"</definedName>
    <definedName name="IQ_NON_INT_INC_BNK_NAME_AP" hidden="1">"c8914"</definedName>
    <definedName name="IQ_NON_INT_INC_BNK_NAME_AP_ABS" hidden="1">"c8933"</definedName>
    <definedName name="IQ_NON_INT_INC_BNK_SUBTOTAL_AP" hidden="1">"c8980"</definedName>
    <definedName name="IQ_NON_INT_INC_FDIC" hidden="1">"c6575"</definedName>
    <definedName name="IQ_NON_INT_INC_OPERATING_INC_FFIEC" hidden="1">"c13382"</definedName>
    <definedName name="IQ_NON_INT_INCOME_FFIEC" hidden="1">"c13017"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CAGR" hidden="1">"c6120"</definedName>
    <definedName name="IQ_NON_PERF_ASSETS_10YR_ANN_GROWTH" hidden="1">"c811"</definedName>
    <definedName name="IQ_NON_PERF_ASSETS_1YR_ANN_GROWTH" hidden="1">"c812"</definedName>
    <definedName name="IQ_NON_PERF_ASSETS_2YR_ANN_CAGR" hidden="1">"c6121"</definedName>
    <definedName name="IQ_NON_PERF_ASSETS_2YR_ANN_GROWTH" hidden="1">"c813"</definedName>
    <definedName name="IQ_NON_PERF_ASSETS_3YR_ANN_CAGR" hidden="1">"c6122"</definedName>
    <definedName name="IQ_NON_PERF_ASSETS_3YR_ANN_GROWTH" hidden="1">"c814"</definedName>
    <definedName name="IQ_NON_PERF_ASSETS_5YR_ANN_CAGR" hidden="1">"c6123"</definedName>
    <definedName name="IQ_NON_PERF_ASSETS_5YR_ANN_GROWTH" hidden="1">"c815"</definedName>
    <definedName name="IQ_NON_PERF_ASSETS_7YR_ANN_CAGR" hidden="1">"c6124"</definedName>
    <definedName name="IQ_NON_PERF_ASSETS_7YR_ANN_GROWTH" hidden="1">"c816"</definedName>
    <definedName name="IQ_NON_PERF_ASSETS_TOTAL_ASSETS" hidden="1">"c817"</definedName>
    <definedName name="IQ_NON_PERF_LOANS_10YR_ANN_CAGR" hidden="1">"c6125"</definedName>
    <definedName name="IQ_NON_PERF_LOANS_10YR_ANN_GROWTH" hidden="1">"c818"</definedName>
    <definedName name="IQ_NON_PERF_LOANS_1YR_ANN_GROWTH" hidden="1">"c819"</definedName>
    <definedName name="IQ_NON_PERF_LOANS_2YR_ANN_CAGR" hidden="1">"c6126"</definedName>
    <definedName name="IQ_NON_PERF_LOANS_2YR_ANN_GROWTH" hidden="1">"c820"</definedName>
    <definedName name="IQ_NON_PERF_LOANS_3YR_ANN_CAGR" hidden="1">"c6127"</definedName>
    <definedName name="IQ_NON_PERF_LOANS_3YR_ANN_GROWTH" hidden="1">"c821"</definedName>
    <definedName name="IQ_NON_PERF_LOANS_5YR_ANN_CAGR" hidden="1">"c6128"</definedName>
    <definedName name="IQ_NON_PERF_LOANS_5YR_ANN_GROWTH" hidden="1">"c822"</definedName>
    <definedName name="IQ_NON_PERF_LOANS_7YR_ANN_CAGR" hidden="1">"c6129"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_US_ADDRESS_LEASE_FIN_REC_FFIEC" hidden="1">"c13625"</definedName>
    <definedName name="IQ_NON_US_ADDRESSEES_TOTAL_LOANS_FOREIGN_FDIC" hidden="1">"c6443"</definedName>
    <definedName name="IQ_NON_US_CHARGE_OFFS_AND_RECOVERIES_FDIC" hidden="1">"c6650"</definedName>
    <definedName name="IQ_NON_US_CHARGE_OFFS_FDIC" hidden="1">"c6648"</definedName>
    <definedName name="IQ_NON_US_COMMERCIAL_INDUSTRIAL_CHARGE_OFFS_FDIC" hidden="1">"c6651"</definedName>
    <definedName name="IQ_NON_US_NET_LOANS_FDIC" hidden="1">"c6376"</definedName>
    <definedName name="IQ_NON_US_RECOVERIES_FDIC" hidden="1">"c6649"</definedName>
    <definedName name="IQ_NONCASH_INCOME_AMORT_CLOSED_END_LOANS_FFIEC" hidden="1">"c13078"</definedName>
    <definedName name="IQ_NONCASH_PENSION_EXP" hidden="1">"c3000"</definedName>
    <definedName name="IQ_NONCORE_ASSETS_TOT_FFIEC" hidden="1">"c13443"</definedName>
    <definedName name="IQ_NONCURRENT_LOANS_1_4_FAMILY_FDIC" hidden="1">"c6770"</definedName>
    <definedName name="IQ_NONCURRENT_LOANS_COMMERCIAL_INDUSTRIAL_FDIC" hidden="1">"c6773"</definedName>
    <definedName name="IQ_NONCURRENT_LOANS_COMMERCIAL_RE_FDIC" hidden="1">"c6768"</definedName>
    <definedName name="IQ_NONCURRENT_LOANS_COMMERCIAL_RE_NOT_SECURED_FDIC" hidden="1">"c6778"</definedName>
    <definedName name="IQ_NONCURRENT_LOANS_CONSTRUCTION_LAND_DEV_FDIC" hidden="1">"c6767"</definedName>
    <definedName name="IQ_NONCURRENT_LOANS_CREDIT_CARD_FDIC" hidden="1">"c6775"</definedName>
    <definedName name="IQ_NONCURRENT_LOANS_GUARANTEED_FDIC" hidden="1">"c6358"</definedName>
    <definedName name="IQ_NONCURRENT_LOANS_HOME_EQUITY_FDIC" hidden="1">"c6771"</definedName>
    <definedName name="IQ_NONCURRENT_LOANS_INDIVIDUALS_FDIC" hidden="1">"c6774"</definedName>
    <definedName name="IQ_NONCURRENT_LOANS_LEASES_FDIC" hidden="1">"c6357"</definedName>
    <definedName name="IQ_NONCURRENT_LOANS_MULTIFAMILY_FDIC" hidden="1">"c6769"</definedName>
    <definedName name="IQ_NONCURRENT_LOANS_OTHER_FAMILY_FDIC" hidden="1">"c6772"</definedName>
    <definedName name="IQ_NONCURRENT_LOANS_OTHER_INDIVIDUAL_FDIC" hidden="1">"c6776"</definedName>
    <definedName name="IQ_NONCURRENT_LOANS_OTHER_LOANS_FDIC" hidden="1">"c6777"</definedName>
    <definedName name="IQ_NONCURRENT_LOANS_RE_FDIC" hidden="1">"c6766"</definedName>
    <definedName name="IQ_NONCURRENT_LOANS_TOTAL_LOANS_FDIC" hidden="1">"c6765"</definedName>
    <definedName name="IQ_NONCURRENT_OREO_ASSETS_FDIC" hidden="1">"c6741"</definedName>
    <definedName name="IQ_NONDEF_CAPITAL_GOODS_ORDERS" hidden="1">"c6932"</definedName>
    <definedName name="IQ_NONDEF_CAPITAL_GOODS_ORDERS_APR" hidden="1">"c7592"</definedName>
    <definedName name="IQ_NONDEF_CAPITAL_GOODS_ORDERS_APR_FC" hidden="1">"c8472"</definedName>
    <definedName name="IQ_NONDEF_CAPITAL_GOODS_ORDERS_FC" hidden="1">"c7812"</definedName>
    <definedName name="IQ_NONDEF_CAPITAL_GOODS_ORDERS_POP" hidden="1">"c7152"</definedName>
    <definedName name="IQ_NONDEF_CAPITAL_GOODS_ORDERS_POP_FC" hidden="1">"c8032"</definedName>
    <definedName name="IQ_NONDEF_CAPITAL_GOODS_ORDERS_YOY" hidden="1">"c7372"</definedName>
    <definedName name="IQ_NONDEF_CAPITAL_GOODS_ORDERS_YOY_FC" hidden="1">"c8252"</definedName>
    <definedName name="IQ_NONDEF_CAPITAL_GOODS_SHIPMENTS" hidden="1">"c6933"</definedName>
    <definedName name="IQ_NONDEF_CAPITAL_GOODS_SHIPMENTS_APR" hidden="1">"c7593"</definedName>
    <definedName name="IQ_NONDEF_CAPITAL_GOODS_SHIPMENTS_APR_FC" hidden="1">"c8473"</definedName>
    <definedName name="IQ_NONDEF_CAPITAL_GOODS_SHIPMENTS_FC" hidden="1">"c7813"</definedName>
    <definedName name="IQ_NONDEF_CAPITAL_GOODS_SHIPMENTS_POP" hidden="1">"c7153"</definedName>
    <definedName name="IQ_NONDEF_CAPITAL_GOODS_SHIPMENTS_POP_FC" hidden="1">"c8033"</definedName>
    <definedName name="IQ_NONDEF_CAPITAL_GOODS_SHIPMENTS_YOY" hidden="1">"c7373"</definedName>
    <definedName name="IQ_NONDEF_CAPITAL_GOODS_SHIPMENTS_YOY_FC" hidden="1">"c8253"</definedName>
    <definedName name="IQ_NONDEF_SPENDING_SAAR" hidden="1">"c6934"</definedName>
    <definedName name="IQ_NONDEF_SPENDING_SAAR_APR" hidden="1">"c7594"</definedName>
    <definedName name="IQ_NONDEF_SPENDING_SAAR_APR_FC" hidden="1">"c8474"</definedName>
    <definedName name="IQ_NONDEF_SPENDING_SAAR_FC" hidden="1">"c7814"</definedName>
    <definedName name="IQ_NONDEF_SPENDING_SAAR_POP" hidden="1">"c7154"</definedName>
    <definedName name="IQ_NONDEF_SPENDING_SAAR_POP_FC" hidden="1">"c8034"</definedName>
    <definedName name="IQ_NONDEF_SPENDING_SAAR_YOY" hidden="1">"c7374"</definedName>
    <definedName name="IQ_NONDEF_SPENDING_SAAR_YOY_FC" hidden="1">"c8254"</definedName>
    <definedName name="IQ_NONFARM_EMP_HRS_PCT_CHANGE" hidden="1">"c6935"</definedName>
    <definedName name="IQ_NONFARM_EMP_HRS_PCT_CHANGE_FC" hidden="1">"c7815"</definedName>
    <definedName name="IQ_NONFARM_EMP_HRS_PCT_CHANGE_POP" hidden="1">"c7155"</definedName>
    <definedName name="IQ_NONFARM_EMP_HRS_PCT_CHANGE_POP_FC" hidden="1">"c8035"</definedName>
    <definedName name="IQ_NONFARM_EMP_HRS_PCT_CHANGE_YOY" hidden="1">"c7375"</definedName>
    <definedName name="IQ_NONFARM_EMP_HRS_PCT_CHANGE_YOY_FC" hidden="1">"c8255"</definedName>
    <definedName name="IQ_NONFARM_NONRES_GROSS_LOANS_FFIEC" hidden="1">"c13405"</definedName>
    <definedName name="IQ_NONFARM_NONRES_LL_REC_DOM_FFIEC" hidden="1">"c13626"</definedName>
    <definedName name="IQ_NONFARM_NONRES_RISK_BASED_FFIEC" hidden="1">"c13426"</definedName>
    <definedName name="IQ_NONFARM_OUTPUT_PER_HR" hidden="1">"c6936"</definedName>
    <definedName name="IQ_NONFARM_OUTPUT_PER_HR_APR" hidden="1">"c7596"</definedName>
    <definedName name="IQ_NONFARM_OUTPUT_PER_HR_APR_FC" hidden="1">"c8476"</definedName>
    <definedName name="IQ_NONFARM_OUTPUT_PER_HR_FC" hidden="1">"c7816"</definedName>
    <definedName name="IQ_NONFARM_OUTPUT_PER_HR_POP" hidden="1">"c7156"</definedName>
    <definedName name="IQ_NONFARM_OUTPUT_PER_HR_POP_FC" hidden="1">"c8036"</definedName>
    <definedName name="IQ_NONFARM_OUTPUT_PER_HR_YOY" hidden="1">"c7376"</definedName>
    <definedName name="IQ_NONFARM_OUTPUT_PER_HR_YOY_FC" hidden="1">"c8256"</definedName>
    <definedName name="IQ_NONFARM_PAYROLLS" hidden="1">"c6926"</definedName>
    <definedName name="IQ_NONFARM_PAYROLLS_APR" hidden="1">"c7586"</definedName>
    <definedName name="IQ_NONFARM_PAYROLLS_APR_FC" hidden="1">"c8466"</definedName>
    <definedName name="IQ_NONFARM_PAYROLLS_FC" hidden="1">"c7806"</definedName>
    <definedName name="IQ_NONFARM_PAYROLLS_POP" hidden="1">"c7146"</definedName>
    <definedName name="IQ_NONFARM_PAYROLLS_POP_FC" hidden="1">"c8026"</definedName>
    <definedName name="IQ_NONFARM_PAYROLLS_YOY" hidden="1">"c7366"</definedName>
    <definedName name="IQ_NONFARM_PAYROLLS_YOY_FC" hidden="1">"c8246"</definedName>
    <definedName name="IQ_NONFARM_TOTAL_HR_INDEX" hidden="1">"c6937"</definedName>
    <definedName name="IQ_NONFARM_TOTAL_HR_INDEX_APR" hidden="1">"c7597"</definedName>
    <definedName name="IQ_NONFARM_TOTAL_HR_INDEX_APR_FC" hidden="1">"c8477"</definedName>
    <definedName name="IQ_NONFARM_TOTAL_HR_INDEX_FC" hidden="1">"c7817"</definedName>
    <definedName name="IQ_NONFARM_TOTAL_HR_INDEX_POP" hidden="1">"c7157"</definedName>
    <definedName name="IQ_NONFARM_TOTAL_HR_INDEX_POP_FC" hidden="1">"c8037"</definedName>
    <definedName name="IQ_NONFARM_TOTAL_HR_INDEX_YOY" hidden="1">"c7377"</definedName>
    <definedName name="IQ_NONFARM_TOTAL_HR_INDEX_YOY_FC" hidden="1">"c8257"</definedName>
    <definedName name="IQ_NONFARM_WAGES" hidden="1">"c6938"</definedName>
    <definedName name="IQ_NONFARM_WAGES_APR" hidden="1">"c7598"</definedName>
    <definedName name="IQ_NONFARM_WAGES_APR_FC" hidden="1">"c8478"</definedName>
    <definedName name="IQ_NONFARM_WAGES_FC" hidden="1">"c7818"</definedName>
    <definedName name="IQ_NONFARM_WAGES_INDEX" hidden="1">"c6939"</definedName>
    <definedName name="IQ_NONFARM_WAGES_INDEX_APR" hidden="1">"c7599"</definedName>
    <definedName name="IQ_NONFARM_WAGES_INDEX_APR_FC" hidden="1">"c8479"</definedName>
    <definedName name="IQ_NONFARM_WAGES_INDEX_FC" hidden="1">"c7819"</definedName>
    <definedName name="IQ_NONFARM_WAGES_INDEX_POP" hidden="1">"c7159"</definedName>
    <definedName name="IQ_NONFARM_WAGES_INDEX_POP_FC" hidden="1">"c8039"</definedName>
    <definedName name="IQ_NONFARM_WAGES_INDEX_YOY" hidden="1">"c7379"</definedName>
    <definedName name="IQ_NONFARM_WAGES_INDEX_YOY_FC" hidden="1">"c8259"</definedName>
    <definedName name="IQ_NONFARM_WAGES_POP" hidden="1">"c7158"</definedName>
    <definedName name="IQ_NONFARM_WAGES_POP_FC" hidden="1">"c8038"</definedName>
    <definedName name="IQ_NONFARM_WAGES_YOY" hidden="1">"c7378"</definedName>
    <definedName name="IQ_NONFARM_WAGES_YOY_FC" hidden="1">"c8258"</definedName>
    <definedName name="IQ_NONINTEREST_BEARING_BALANCES_FDIC" hidden="1">"c6394"</definedName>
    <definedName name="IQ_NONINTEREST_BEARING_CASH_FFIEC" hidden="1">"c12774"</definedName>
    <definedName name="IQ_NONINTEREST_BEARING_DEPOSITS_DOMESTIC_FDIC" hidden="1">"c6477"</definedName>
    <definedName name="IQ_NONINTEREST_BEARING_DEPOSITS_FOREIGN_FDIC" hidden="1">"c6484"</definedName>
    <definedName name="IQ_NONINTEREST_EXPENSE_EARNING_ASSETS_FDIC" hidden="1">"c6728"</definedName>
    <definedName name="IQ_NONINTEREST_INCOME_EARNING_ASSETS_FDIC" hidden="1">"c6727"</definedName>
    <definedName name="IQ_NONMORTGAGE_SERVICING_FDIC" hidden="1">"c6336"</definedName>
    <definedName name="IQ_NONQUALIFYING_PREFERRED_T1_FFIEC" hidden="1">"c13134"</definedName>
    <definedName name="IQ_NONRECOURSE_DEBT" hidden="1">"c2550"</definedName>
    <definedName name="IQ_NONRECOURSE_DEBT_PCT" hidden="1">"c2551"</definedName>
    <definedName name="IQ_NONRES_FIXED_INVEST" hidden="1">"c6931"</definedName>
    <definedName name="IQ_NONRES_FIXED_INVEST_APR" hidden="1">"c7591"</definedName>
    <definedName name="IQ_NONRES_FIXED_INVEST_POP" hidden="1">"c7151"</definedName>
    <definedName name="IQ_NONRES_FIXED_INVEST_PRIV_APR_FC_UNUSED" hidden="1">"c8468"</definedName>
    <definedName name="IQ_NONRES_FIXED_INVEST_PRIV_APR_FC_UNUSED_UNUSED_UNUSED" hidden="1">"c8468"</definedName>
    <definedName name="IQ_NONRES_FIXED_INVEST_PRIV_APR_UNUSED" hidden="1">"c7588"</definedName>
    <definedName name="IQ_NONRES_FIXED_INVEST_PRIV_APR_UNUSED_UNUSED_UNUSED" hidden="1">"c7588"</definedName>
    <definedName name="IQ_NONRES_FIXED_INVEST_PRIV_FC_UNUSED" hidden="1">"c7808"</definedName>
    <definedName name="IQ_NONRES_FIXED_INVEST_PRIV_FC_UNUSED_UNUSED_UNUSED" hidden="1">"c7808"</definedName>
    <definedName name="IQ_NONRES_FIXED_INVEST_PRIV_POP_FC_UNUSED" hidden="1">"c8028"</definedName>
    <definedName name="IQ_NONRES_FIXED_INVEST_PRIV_POP_FC_UNUSED_UNUSED_UNUSED" hidden="1">"c8028"</definedName>
    <definedName name="IQ_NONRES_FIXED_INVEST_PRIV_POP_UNUSED" hidden="1">"c7148"</definedName>
    <definedName name="IQ_NONRES_FIXED_INVEST_PRIV_POP_UNUSED_UNUSED_UNUSED" hidden="1">"c7148"</definedName>
    <definedName name="IQ_NONRES_FIXED_INVEST_PRIV_REAL" hidden="1">"c6989"</definedName>
    <definedName name="IQ_NONRES_FIXED_INVEST_PRIV_REAL_APR" hidden="1">"c7649"</definedName>
    <definedName name="IQ_NONRES_FIXED_INVEST_PRIV_REAL_APR_FC" hidden="1">"c8529"</definedName>
    <definedName name="IQ_NONRES_FIXED_INVEST_PRIV_REAL_FC" hidden="1">"c7869"</definedName>
    <definedName name="IQ_NONRES_FIXED_INVEST_PRIV_REAL_POP" hidden="1">"c7209"</definedName>
    <definedName name="IQ_NONRES_FIXED_INVEST_PRIV_REAL_POP_FC" hidden="1">"c8089"</definedName>
    <definedName name="IQ_NONRES_FIXED_INVEST_PRIV_REAL_SAAR" hidden="1">"c6990"</definedName>
    <definedName name="IQ_NONRES_FIXED_INVEST_PRIV_REAL_SAAR_APR" hidden="1">"c7650"</definedName>
    <definedName name="IQ_NONRES_FIXED_INVEST_PRIV_REAL_SAAR_APR_FC" hidden="1">"c8530"</definedName>
    <definedName name="IQ_NONRES_FIXED_INVEST_PRIV_REAL_SAAR_FC" hidden="1">"c7870"</definedName>
    <definedName name="IQ_NONRES_FIXED_INVEST_PRIV_REAL_SAAR_POP" hidden="1">"c7210"</definedName>
    <definedName name="IQ_NONRES_FIXED_INVEST_PRIV_REAL_SAAR_POP_FC" hidden="1">"c8090"</definedName>
    <definedName name="IQ_NONRES_FIXED_INVEST_PRIV_REAL_SAAR_USD_APR_FC" hidden="1">"c11981"</definedName>
    <definedName name="IQ_NONRES_FIXED_INVEST_PRIV_REAL_SAAR_USD_FC" hidden="1">"c11978"</definedName>
    <definedName name="IQ_NONRES_FIXED_INVEST_PRIV_REAL_SAAR_USD_POP_FC" hidden="1">"c11979"</definedName>
    <definedName name="IQ_NONRES_FIXED_INVEST_PRIV_REAL_SAAR_USD_YOY_FC" hidden="1">"c11980"</definedName>
    <definedName name="IQ_NONRES_FIXED_INVEST_PRIV_REAL_SAAR_YOY" hidden="1">"c7430"</definedName>
    <definedName name="IQ_NONRES_FIXED_INVEST_PRIV_REAL_SAAR_YOY_FC" hidden="1">"c8310"</definedName>
    <definedName name="IQ_NONRES_FIXED_INVEST_PRIV_REAL_USD_APR_FC" hidden="1">"c11977"</definedName>
    <definedName name="IQ_NONRES_FIXED_INVEST_PRIV_REAL_USD_FC" hidden="1">"c11974"</definedName>
    <definedName name="IQ_NONRES_FIXED_INVEST_PRIV_REAL_USD_POP_FC" hidden="1">"c11975"</definedName>
    <definedName name="IQ_NONRES_FIXED_INVEST_PRIV_REAL_USD_YOY_FC" hidden="1">"c11976"</definedName>
    <definedName name="IQ_NONRES_FIXED_INVEST_PRIV_REAL_YOY" hidden="1">"c7429"</definedName>
    <definedName name="IQ_NONRES_FIXED_INVEST_PRIV_REAL_YOY_FC" hidden="1">"c8309"</definedName>
    <definedName name="IQ_NONRES_FIXED_INVEST_PRIV_SAAR" hidden="1">"c6929"</definedName>
    <definedName name="IQ_NONRES_FIXED_INVEST_PRIV_SAAR_APR" hidden="1">"c7589"</definedName>
    <definedName name="IQ_NONRES_FIXED_INVEST_PRIV_SAAR_APR_FC" hidden="1">"c8469"</definedName>
    <definedName name="IQ_NONRES_FIXED_INVEST_PRIV_SAAR_FC" hidden="1">"c7809"</definedName>
    <definedName name="IQ_NONRES_FIXED_INVEST_PRIV_SAAR_POP" hidden="1">"c7149"</definedName>
    <definedName name="IQ_NONRES_FIXED_INVEST_PRIV_SAAR_POP_FC" hidden="1">"c8029"</definedName>
    <definedName name="IQ_NONRES_FIXED_INVEST_PRIV_SAAR_USD_APR_FC" hidden="1">"c11877"</definedName>
    <definedName name="IQ_NONRES_FIXED_INVEST_PRIV_SAAR_USD_FC" hidden="1">"c11874"</definedName>
    <definedName name="IQ_NONRES_FIXED_INVEST_PRIV_SAAR_USD_POP_FC" hidden="1">"c11875"</definedName>
    <definedName name="IQ_NONRES_FIXED_INVEST_PRIV_SAAR_USD_YOY_FC" hidden="1">"c11876"</definedName>
    <definedName name="IQ_NONRES_FIXED_INVEST_PRIV_SAAR_YOY" hidden="1">"c7369"</definedName>
    <definedName name="IQ_NONRES_FIXED_INVEST_PRIV_SAAR_YOY_FC" hidden="1">"c8249"</definedName>
    <definedName name="IQ_NONRES_FIXED_INVEST_PRIV_UNUSED" hidden="1">"c6928"</definedName>
    <definedName name="IQ_NONRES_FIXED_INVEST_PRIV_UNUSED_UNUSED_UNUSED" hidden="1">"c6928"</definedName>
    <definedName name="IQ_NONRES_FIXED_INVEST_PRIV_USD_APR_FC" hidden="1">"c11873"</definedName>
    <definedName name="IQ_NONRES_FIXED_INVEST_PRIV_USD_FC" hidden="1">"c11870"</definedName>
    <definedName name="IQ_NONRES_FIXED_INVEST_PRIV_USD_POP_FC" hidden="1">"c11871"</definedName>
    <definedName name="IQ_NONRES_FIXED_INVEST_PRIV_USD_YOY_FC" hidden="1">"c11872"</definedName>
    <definedName name="IQ_NONRES_FIXED_INVEST_PRIV_YOY_FC_UNUSED" hidden="1">"c8248"</definedName>
    <definedName name="IQ_NONRES_FIXED_INVEST_PRIV_YOY_FC_UNUSED_UNUSED_UNUSED" hidden="1">"c8248"</definedName>
    <definedName name="IQ_NONRES_FIXED_INVEST_PRIV_YOY_UNUSED" hidden="1">"c7368"</definedName>
    <definedName name="IQ_NONRES_FIXED_INVEST_PRIV_YOY_UNUSED_UNUSED_UNUSED" hidden="1">"c7368"</definedName>
    <definedName name="IQ_NONRES_FIXED_INVEST_REAL" hidden="1">"c6993"</definedName>
    <definedName name="IQ_NONRES_FIXED_INVEST_REAL_APR" hidden="1">"c7653"</definedName>
    <definedName name="IQ_NONRES_FIXED_INVEST_REAL_POP" hidden="1">"c7213"</definedName>
    <definedName name="IQ_NONRES_FIXED_INVEST_REAL_SAAR" hidden="1">"c6987"</definedName>
    <definedName name="IQ_NONRES_FIXED_INVEST_REAL_SAAR_APR" hidden="1">"c7647"</definedName>
    <definedName name="IQ_NONRES_FIXED_INVEST_REAL_SAAR_APR_FC" hidden="1">"c8527"</definedName>
    <definedName name="IQ_NONRES_FIXED_INVEST_REAL_SAAR_FC" hidden="1">"c7867"</definedName>
    <definedName name="IQ_NONRES_FIXED_INVEST_REAL_SAAR_POP" hidden="1">"c7207"</definedName>
    <definedName name="IQ_NONRES_FIXED_INVEST_REAL_SAAR_POP_FC" hidden="1">"c8087"</definedName>
    <definedName name="IQ_NONRES_FIXED_INVEST_REAL_SAAR_YOY" hidden="1">"c7427"</definedName>
    <definedName name="IQ_NONRES_FIXED_INVEST_REAL_SAAR_YOY_FC" hidden="1">"c8307"</definedName>
    <definedName name="IQ_NONRES_FIXED_INVEST_REAL_USD_APR_FC" hidden="1">"c11973"</definedName>
    <definedName name="IQ_NONRES_FIXED_INVEST_REAL_USD_FC" hidden="1">"c11970"</definedName>
    <definedName name="IQ_NONRES_FIXED_INVEST_REAL_USD_POP_FC" hidden="1">"c11971"</definedName>
    <definedName name="IQ_NONRES_FIXED_INVEST_REAL_USD_YOY_FC" hidden="1">"c11972"</definedName>
    <definedName name="IQ_NONRES_FIXED_INVEST_REAL_YOY" hidden="1">"c7433"</definedName>
    <definedName name="IQ_NONRES_FIXED_INVEST_STRUCT" hidden="1">"c6930"</definedName>
    <definedName name="IQ_NONRES_FIXED_INVEST_STRUCT_APR" hidden="1">"c7590"</definedName>
    <definedName name="IQ_NONRES_FIXED_INVEST_STRUCT_APR_FC" hidden="1">"c8470"</definedName>
    <definedName name="IQ_NONRES_FIXED_INVEST_STRUCT_FC" hidden="1">"c7810"</definedName>
    <definedName name="IQ_NONRES_FIXED_INVEST_STRUCT_POP" hidden="1">"c7150"</definedName>
    <definedName name="IQ_NONRES_FIXED_INVEST_STRUCT_POP_FC" hidden="1">"c8030"</definedName>
    <definedName name="IQ_NONRES_FIXED_INVEST_STRUCT_REAL" hidden="1">"c6992"</definedName>
    <definedName name="IQ_NONRES_FIXED_INVEST_STRUCT_REAL_APR" hidden="1">"c7652"</definedName>
    <definedName name="IQ_NONRES_FIXED_INVEST_STRUCT_REAL_APR_FC" hidden="1">"c8532"</definedName>
    <definedName name="IQ_NONRES_FIXED_INVEST_STRUCT_REAL_FC" hidden="1">"c7872"</definedName>
    <definedName name="IQ_NONRES_FIXED_INVEST_STRUCT_REAL_POP" hidden="1">"c7212"</definedName>
    <definedName name="IQ_NONRES_FIXED_INVEST_STRUCT_REAL_POP_FC" hidden="1">"c8092"</definedName>
    <definedName name="IQ_NONRES_FIXED_INVEST_STRUCT_REAL_SAAR" hidden="1">"c6991"</definedName>
    <definedName name="IQ_NONRES_FIXED_INVEST_STRUCT_REAL_SAAR_APR" hidden="1">"c7651"</definedName>
    <definedName name="IQ_NONRES_FIXED_INVEST_STRUCT_REAL_SAAR_APR_FC" hidden="1">"c8531"</definedName>
    <definedName name="IQ_NONRES_FIXED_INVEST_STRUCT_REAL_SAAR_FC" hidden="1">"c7871"</definedName>
    <definedName name="IQ_NONRES_FIXED_INVEST_STRUCT_REAL_SAAR_POP" hidden="1">"c7211"</definedName>
    <definedName name="IQ_NONRES_FIXED_INVEST_STRUCT_REAL_SAAR_POP_FC" hidden="1">"c8091"</definedName>
    <definedName name="IQ_NONRES_FIXED_INVEST_STRUCT_REAL_SAAR_YOY" hidden="1">"c7431"</definedName>
    <definedName name="IQ_NONRES_FIXED_INVEST_STRUCT_REAL_SAAR_YOY_FC" hidden="1">"c8311"</definedName>
    <definedName name="IQ_NONRES_FIXED_INVEST_STRUCT_REAL_USD_APR_FC" hidden="1">"c11985"</definedName>
    <definedName name="IQ_NONRES_FIXED_INVEST_STRUCT_REAL_USD_FC" hidden="1">"c11982"</definedName>
    <definedName name="IQ_NONRES_FIXED_INVEST_STRUCT_REAL_USD_POP_FC" hidden="1">"c11983"</definedName>
    <definedName name="IQ_NONRES_FIXED_INVEST_STRUCT_REAL_USD_YOY_FC" hidden="1">"c11984"</definedName>
    <definedName name="IQ_NONRES_FIXED_INVEST_STRUCT_REAL_YOY" hidden="1">"c7432"</definedName>
    <definedName name="IQ_NONRES_FIXED_INVEST_STRUCT_REAL_YOY_FC" hidden="1">"c8312"</definedName>
    <definedName name="IQ_NONRES_FIXED_INVEST_STRUCT_USD_APR_FC" hidden="1">"c11881"</definedName>
    <definedName name="IQ_NONRES_FIXED_INVEST_STRUCT_USD_FC" hidden="1">"c11878"</definedName>
    <definedName name="IQ_NONRES_FIXED_INVEST_STRUCT_USD_POP_FC" hidden="1">"c11879"</definedName>
    <definedName name="IQ_NONRES_FIXED_INVEST_STRUCT_USD_YOY_FC" hidden="1">"c11880"</definedName>
    <definedName name="IQ_NONRES_FIXED_INVEST_STRUCT_YOY" hidden="1">"c7370"</definedName>
    <definedName name="IQ_NONRES_FIXED_INVEST_STRUCT_YOY_FC" hidden="1">"c8250"</definedName>
    <definedName name="IQ_NONRES_FIXED_INVEST_USD_APR_FC" hidden="1">"c11869"</definedName>
    <definedName name="IQ_NONRES_FIXED_INVEST_USD_FC" hidden="1">"c11866"</definedName>
    <definedName name="IQ_NONRES_FIXED_INVEST_USD_POP_FC" hidden="1">"c11867"</definedName>
    <definedName name="IQ_NONRES_FIXED_INVEST_USD_YOY_FC" hidden="1">"c11868"</definedName>
    <definedName name="IQ_NONRES_FIXED_INVEST_YOY" hidden="1">"c7371"</definedName>
    <definedName name="IQ_NONTRADING_SECURITIES_FAIR_VALUE_TOT_FFIEC" hidden="1">"c13211"</definedName>
    <definedName name="IQ_NONTRADING_SECURITIES_LEVEL_1_FFIEC" hidden="1">"c13219"</definedName>
    <definedName name="IQ_NONTRADING_SECURITIES_LEVEL_2_FFIEC" hidden="1">"c13227"</definedName>
    <definedName name="IQ_NONTRADING_SECURITIES_LEVEL_3_FFIEC" hidden="1">"c13235"</definedName>
    <definedName name="IQ_NONTRANSACTION_ACCOUNTS_FDIC" hidden="1">"c6552"</definedName>
    <definedName name="IQ_NONUTIL_REV" hidden="1">"c2089"</definedName>
    <definedName name="IQ_NORM_EPS_ACT_OR_EST" hidden="1">"c2249"</definedName>
    <definedName name="IQ_NORM_EPS_ACT_OR_EST_CIQ" hidden="1">"c5069"</definedName>
    <definedName name="IQ_NORM_EPS_ACT_OR_EST_REUT" hidden="1">"c5472"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TIONAL_AMOUNT_CREDIT_DERIVATIVES_FDIC" hidden="1">"c6507"</definedName>
    <definedName name="IQ_NOTIONAL_AMT_DERIVATIVES_BENEFICIARY_FFIEC" hidden="1">"c13118"</definedName>
    <definedName name="IQ_NOTIONAL_AMT_DERIVATIVES_GUARANTOR_FFIEC" hidden="1">"c13111"</definedName>
    <definedName name="IQ_NOTIONAL_VALUE_EXCHANGE_SWAPS_FDIC" hidden="1">"c6516"</definedName>
    <definedName name="IQ_NOTIONAL_VALUE_OTHER_SWAPS_FDIC" hidden="1">"c6521"</definedName>
    <definedName name="IQ_NOTIONAL_VALUE_RATE_SWAPS_FDIC" hidden="1">"c6511"</definedName>
    <definedName name="IQ_NOW_ACCOUNT" hidden="1">"c828"</definedName>
    <definedName name="IQ_NOW_ATS_ACCOUNTS_COMMERCIAL_BANK_SUBS_FFIEC" hidden="1">"c12946"</definedName>
    <definedName name="IQ_NOW_ATS_ACCOUNTS_OTHER_INSTITUTIONS_FFIEC" hidden="1">"c12951"</definedName>
    <definedName name="IQ_NPPE" hidden="1">"c829"</definedName>
    <definedName name="IQ_NPPE_10YR_ANN_CAGR" hidden="1">"c6130"</definedName>
    <definedName name="IQ_NPPE_10YR_ANN_GROWTH" hidden="1">"c830"</definedName>
    <definedName name="IQ_NPPE_1YR_ANN_GROWTH" hidden="1">"c831"</definedName>
    <definedName name="IQ_NPPE_2YR_ANN_CAGR" hidden="1">"c6131"</definedName>
    <definedName name="IQ_NPPE_2YR_ANN_GROWTH" hidden="1">"c832"</definedName>
    <definedName name="IQ_NPPE_3YR_ANN_CAGR" hidden="1">"c6132"</definedName>
    <definedName name="IQ_NPPE_3YR_ANN_GROWTH" hidden="1">"c833"</definedName>
    <definedName name="IQ_NPPE_5YR_ANN_CAGR" hidden="1">"c6133"</definedName>
    <definedName name="IQ_NPPE_5YR_ANN_GROWTH" hidden="1">"c834"</definedName>
    <definedName name="IQ_NPPE_7YR_ANN_CAGR" hidden="1">"c6134"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DEPOSITS_LESS_THAN_100K_FDIC" hidden="1">"c6495"</definedName>
    <definedName name="IQ_NUMBER_DEPOSITS_MORE_THAN_100K_FDIC" hidden="1">"c6493"</definedName>
    <definedName name="IQ_NUMBER_MINES_ALUM" hidden="1">"c9248"</definedName>
    <definedName name="IQ_NUMBER_MINES_COAL" hidden="1">"c9822"</definedName>
    <definedName name="IQ_NUMBER_MINES_COP" hidden="1">"c9193"</definedName>
    <definedName name="IQ_NUMBER_MINES_DIAM" hidden="1">"c9672"</definedName>
    <definedName name="IQ_NUMBER_MINES_GOLD" hidden="1">"c9033"</definedName>
    <definedName name="IQ_NUMBER_MINES_IRON" hidden="1">"c9407"</definedName>
    <definedName name="IQ_NUMBER_MINES_LEAD" hidden="1">"c9460"</definedName>
    <definedName name="IQ_NUMBER_MINES_MANG" hidden="1">"c9513"</definedName>
    <definedName name="IQ_NUMBER_MINES_MOLYB" hidden="1">"c9725"</definedName>
    <definedName name="IQ_NUMBER_MINES_NICK" hidden="1">"c9301"</definedName>
    <definedName name="IQ_NUMBER_MINES_PLAT" hidden="1">"c9139"</definedName>
    <definedName name="IQ_NUMBER_MINES_SILVER" hidden="1">"c9086"</definedName>
    <definedName name="IQ_NUMBER_MINES_TITAN" hidden="1">"c9566"</definedName>
    <definedName name="IQ_NUMBER_MINES_URAN" hidden="1">"c9619"</definedName>
    <definedName name="IQ_NUMBER_MINES_ZINC" hidden="1">"c9354"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BLIGATIONS_OF_STATES_TOTAL_LOANS_FOREIGN_FDIC" hidden="1">"c6447"</definedName>
    <definedName name="IQ_OBLIGATIONS_STATES_FDIC" hidden="1">"c6431"</definedName>
    <definedName name="IQ_OCCUPANCY_CONSOL" hidden="1">"c8840"</definedName>
    <definedName name="IQ_OCCUPANCY_EXP_AVG_ASSETS_FFIEC" hidden="1">"c13372"</definedName>
    <definedName name="IQ_OCCUPANCY_EXP_OPERATING_INC_FFIEC" hidden="1">"c13380"</definedName>
    <definedName name="IQ_OCCUPANCY_MANAGED" hidden="1">"c8842"</definedName>
    <definedName name="IQ_OCCUPANCY_OTHER" hidden="1">"c8843"</definedName>
    <definedName name="IQ_OCCUPANCY_SAME_PROP" hidden="1">"c8845"</definedName>
    <definedName name="IQ_OCCUPANCY_TOTAL" hidden="1">"c8844"</definedName>
    <definedName name="IQ_OCCUPANCY_UNCONSOL" hidden="1">"c8841"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GAS_EQUIV_PRODUCTION_MMCFE" hidden="1">"c10061"</definedName>
    <definedName name="IQ_OG_AVG_DAILY_OIL_EQUIV_PRODUCTION_KBOE" hidden="1">"c10060"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AVG_DAILY_PRODUCTION_GAS_MMCM" hidden="1">"c10059"</definedName>
    <definedName name="IQ_OG_AVG_DAILY_SALES_VOL_EQ_INC_GAS" hidden="1">"c5797"</definedName>
    <definedName name="IQ_OG_AVG_DAILY_SALES_VOL_EQ_INC_NGL" hidden="1">"c5798"</definedName>
    <definedName name="IQ_OG_AVG_DAILY_SALES_VOL_EQ_INC_OIL" hidden="1">"c5796"</definedName>
    <definedName name="IQ_OG_AVG_GAS_PRICE_CBM_HEDGED" hidden="1">"c10054"</definedName>
    <definedName name="IQ_OG_AVG_GAS_PRICE_CBM_UNHEDGED" hidden="1">"c10055"</definedName>
    <definedName name="IQ_OG_AVG_PRODUCTION_COST_BBL" hidden="1">"c10062"</definedName>
    <definedName name="IQ_OG_AVG_PRODUCTION_COST_BOE" hidden="1">"c10064"</definedName>
    <definedName name="IQ_OG_AVG_PRODUCTION_COST_MCF" hidden="1">"c10063"</definedName>
    <definedName name="IQ_OG_AVG_PRODUCTION_COST_MCFE" hidden="1">"c10065"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AILY_PRDUCTION_GROWTH_GAS" hidden="1">"c12732"</definedName>
    <definedName name="IQ_OG_DAILY_PRDUCTION_GROWTH_GAS_EQUIVALENT" hidden="1">"c12733"</definedName>
    <definedName name="IQ_OG_DAILY_PRDUCTION_GROWTH_NGL" hidden="1">"c12734"</definedName>
    <definedName name="IQ_OG_DAILY_PRDUCTION_GROWTH_OIL" hidden="1">"c12735"</definedName>
    <definedName name="IQ_OG_DAILY_PRDUCTION_GROWTH_OIL_EQUIVALENT" hidden="1">"c12736"</definedName>
    <definedName name="IQ_OG_DAILY_PRODUCTION_GROWTH_GAS" hidden="1">"c10073"</definedName>
    <definedName name="IQ_OG_DAILY_PRODUCTION_GROWTH_GAS_EQUIVALENT" hidden="1">"c10076"</definedName>
    <definedName name="IQ_OG_DAILY_PRODUCTION_GROWTH_NGL" hidden="1">"c10074"</definedName>
    <definedName name="IQ_OG_DAILY_PRODUCTION_GROWTH_OIL" hidden="1">"c10072"</definedName>
    <definedName name="IQ_OG_DAILY_PRODUCTION_GROWTH_OIL_EQUIVALENT" hidden="1">"c10075"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ACRE_GROSS_EQ_INC" hidden="1">"c5802"</definedName>
    <definedName name="IQ_OG_DEVELOPED_ACRE_NET_EQ_INC" hidden="1">"c5803"</definedName>
    <definedName name="IQ_OG_DEVELOPED_RESERVES_GAS" hidden="1">"c2053"</definedName>
    <definedName name="IQ_OG_DEVELOPED_RESERVES_GAS_BCM" hidden="1">"c10045"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AFFILIATES_RESERVES_GAS_BCM" hidden="1">"c10047"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PLORATION_DEVELOPMENT_COST" hidden="1">"c10081"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GROSS_DEVELOPED_AREA_SQ_KM" hidden="1">"c10079"</definedName>
    <definedName name="IQ_OG_GROSS_DEVELOPMENT_DRY_WELLS_DRILLED" hidden="1">"c10098"</definedName>
    <definedName name="IQ_OG_GROSS_DEVELOPMENT_PRODUCTIVE_WELLS_DRILLED" hidden="1">"c10097"</definedName>
    <definedName name="IQ_OG_GROSS_DEVELOPMENT_TOTAL_WELLS_DRILLED" hidden="1">"c10099"</definedName>
    <definedName name="IQ_OG_GROSS_EXPLORATORY_DRY_WELLS_DRILLED" hidden="1">"c10095"</definedName>
    <definedName name="IQ_OG_GROSS_EXPLORATORY_PRODUCTIVE_WELLS_DRILLED" hidden="1">"c10094"</definedName>
    <definedName name="IQ_OG_GROSS_EXPLORATORY_TOTAL_WELLS_DRILLED" hidden="1">"c10096"</definedName>
    <definedName name="IQ_OG_GROSS_OPERATED_WELLS" hidden="1">"c10092"</definedName>
    <definedName name="IQ_OG_GROSS_PRODUCTIVE_WELLS_GAS" hidden="1">"c10087"</definedName>
    <definedName name="IQ_OG_GROSS_PRODUCTIVE_WELLS_OIL" hidden="1">"c10086"</definedName>
    <definedName name="IQ_OG_GROSS_PRODUCTIVE_WELLS_TOTAL" hidden="1">"c10088"</definedName>
    <definedName name="IQ_OG_GROSS_TOTAL_WELLS_DRILLED" hidden="1">"c10100"</definedName>
    <definedName name="IQ_OG_GROSS_UNDEVELOPED_AREA_SQ_KM" hidden="1">"c10077"</definedName>
    <definedName name="IQ_OG_GROSS_WELLS_DRILLING" hidden="1">"c10108"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DEVELOPED_AREA_SQ_KM" hidden="1">"c10080"</definedName>
    <definedName name="IQ_OG_NET_DEVELOPMENT_DRY_WELLS_DRILLED" hidden="1">"c10105"</definedName>
    <definedName name="IQ_OG_NET_DEVELOPMENT_PRODUCTIVE_WELLS_DRILLED" hidden="1">"c10104"</definedName>
    <definedName name="IQ_OG_NET_DEVELOPMENT_TOTAL_WELLS_DRILLED" hidden="1">"c10106"</definedName>
    <definedName name="IQ_OG_NET_EXPLORATORY_DRY_WELLS_DRILLED" hidden="1">"c10102"</definedName>
    <definedName name="IQ_OG_NET_EXPLORATORY_PRODUCTIVE_WELLS_DRILLED" hidden="1">"c10101"</definedName>
    <definedName name="IQ_OG_NET_EXPLORATORY_TOTAL_WELLS_DRILLED" hidden="1">"c10103"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NET_OPERATED_WELLS" hidden="1">"c10093"</definedName>
    <definedName name="IQ_OG_NET_PRODUCTIVE_WELLS_GAS" hidden="1">"c10090"</definedName>
    <definedName name="IQ_OG_NET_PRODUCTIVE_WELLS_OIL" hidden="1">"c10089"</definedName>
    <definedName name="IQ_OG_NET_PRODUCTIVE_WELLS_TOTAL" hidden="1">"c10091"</definedName>
    <definedName name="IQ_OG_NET_TOTAL_WELLS_DRILLED" hidden="1">"c10107"</definedName>
    <definedName name="IQ_OG_NET_UNDEVELOPED_AREA_SQ_KM" hidden="1">"c10078"</definedName>
    <definedName name="IQ_OG_NET_WELLS_DRILLING" hidden="1">"c10109"</definedName>
    <definedName name="IQ_OG_NUMBER_WELLS_NEW" hidden="1">"c10085"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DUCTION_GROWTH_GAS" hidden="1">"c12737"</definedName>
    <definedName name="IQ_OG_PRDUCTION_GROWTH_GAS_EQUIVALENT" hidden="1">"c12738"</definedName>
    <definedName name="IQ_OG_PRDUCTION_GROWTH_NGL" hidden="1">"c12739"</definedName>
    <definedName name="IQ_OG_PRDUCTION_GROWTH_OIL" hidden="1">"c12740"</definedName>
    <definedName name="IQ_OG_PRDUCTION_GROWTH_OIL_EQUIVALENT" hidden="1">"c12741"</definedName>
    <definedName name="IQ_OG_PRDUCTION_GROWTH_TOAL" hidden="1">"c12742"</definedName>
    <definedName name="IQ_OG_PRODUCTION_GAS" hidden="1">"c2047"</definedName>
    <definedName name="IQ_OG_PRODUCTION_GROWTH_GAS" hidden="1">"c10067"</definedName>
    <definedName name="IQ_OG_PRODUCTION_GROWTH_GAS_EQUIVALENT" hidden="1">"c10070"</definedName>
    <definedName name="IQ_OG_PRODUCTION_GROWTH_NGL" hidden="1">"c10068"</definedName>
    <definedName name="IQ_OG_PRODUCTION_GROWTH_OIL" hidden="1">"c10066"</definedName>
    <definedName name="IQ_OG_PRODUCTION_GROWTH_OIL_EQUIVALENT" hidden="1">"c10069"</definedName>
    <definedName name="IQ_OG_PRODUCTION_GROWTH_TOTAL" hidden="1">"c10071"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SERVE_REPLACEMENT_RATIO" hidden="1">"c5799"</definedName>
    <definedName name="IQ_OG_REVISIONS_GAS" hidden="1">"c2042"</definedName>
    <definedName name="IQ_OG_REVISIONS_NGL" hidden="1">"c2913"</definedName>
    <definedName name="IQ_OG_REVISIONS_OIL" hidden="1">"c2030"</definedName>
    <definedName name="IQ_OG_RIGS_NON_OPERATED" hidden="1">"c10083"</definedName>
    <definedName name="IQ_OG_RIGS_OPERATED" hidden="1">"c10082"</definedName>
    <definedName name="IQ_OG_RIGS_TOTAL" hidden="1">"c10084"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ALES_VOL_EQ_INC_GAS" hidden="1">"c5794"</definedName>
    <definedName name="IQ_OG_SALES_VOL_EQ_INC_NGL" hidden="1">"c5795"</definedName>
    <definedName name="IQ_OG_SALES_VOL_EQ_INC_OIL" hidden="1">"c5793"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EQUIV_PRODUCTION_BCFE" hidden="1">"c10058"</definedName>
    <definedName name="IQ_OG_TOTAL_GAS_PRODUCTION" hidden="1">"c2060"</definedName>
    <definedName name="IQ_OG_TOTAL_LIQUID_GAS_PRODUCTION" hidden="1">"c2235"</definedName>
    <definedName name="IQ_OG_TOTAL_OIL_EQUIV_PRODUCTION_MMBOE" hidden="1">"c10057"</definedName>
    <definedName name="IQ_OG_TOTAL_OIL_PRODUCTION" hidden="1">"c2059"</definedName>
    <definedName name="IQ_OG_TOTAL_OIL_PRODUCTON" hidden="1">"c2059"</definedName>
    <definedName name="IQ_OG_TOTAL_POSSIBLE_RESERVES_GAS_BCF" hidden="1">"c10050"</definedName>
    <definedName name="IQ_OG_TOTAL_POSSIBLE_RESERVES_GAS_BCM" hidden="1">"c10051"</definedName>
    <definedName name="IQ_OG_TOTAL_POSSIBLE_RESERVES_OIL_MMBBLS" hidden="1">"c10053"</definedName>
    <definedName name="IQ_OG_TOTAL_PROBABLE_RESERVES_GAS_BCF" hidden="1">"c10048"</definedName>
    <definedName name="IQ_OG_TOTAL_PROBABLE_RESERVES_GAS_BCM" hidden="1">"c10049"</definedName>
    <definedName name="IQ_OG_TOTAL_PROBABLE_RESERVES_OIL_MMBBLS" hidden="1">"c10052"</definedName>
    <definedName name="IQ_OG_TOTAL_PRODUCTION_GAS_BCM" hidden="1">"c10056"</definedName>
    <definedName name="IQ_OG_TOTAL_PROVED_RESERVES_GAS_BCM" hidden="1">"c10046"</definedName>
    <definedName name="IQ_OG_UNDEVELOPED_ACRE_GROSS_EQ_INC" hidden="1">"c5800"</definedName>
    <definedName name="IQ_OG_UNDEVELOPED_ACRE_NET_EQ_INC" hidden="1">"c5801"</definedName>
    <definedName name="IQ_OG_UNDEVELOPED_RESERVES_GAS" hidden="1">"c2051"</definedName>
    <definedName name="IQ_OG_UNDEVELOPED_RESERVES_GAS_BCM" hidden="1">"c10044"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CT_NEXT" hidden="1">"c5774"</definedName>
    <definedName name="IQ_OPEB_ACT_NEXT_DOM" hidden="1">"c5772"</definedName>
    <definedName name="IQ_OPEB_ACT_NEXT_FOREIGN" hidden="1">"c5773"</definedName>
    <definedName name="IQ_OPEB_AMT_RECOG_NEXT" hidden="1">"c5783"</definedName>
    <definedName name="IQ_OPEB_AMT_RECOG_NEXT_DOM" hidden="1">"c5781"</definedName>
    <definedName name="IQ_OPEB_AMT_RECOG_NEXT_FOREIGN" hidden="1">"c5782"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CI_ACT" hidden="1">"c5759"</definedName>
    <definedName name="IQ_OPEB_CI_ACT_DOM" hidden="1">"c5757"</definedName>
    <definedName name="IQ_OPEB_CI_ACT_FOREIGN" hidden="1">"c5758"</definedName>
    <definedName name="IQ_OPEB_CI_NET_AMT_RECOG" hidden="1">"c5771"</definedName>
    <definedName name="IQ_OPEB_CI_NET_AMT_RECOG_DOM" hidden="1">"c5769"</definedName>
    <definedName name="IQ_OPEB_CI_NET_AMT_RECOG_FOREIGN" hidden="1">"c5770"</definedName>
    <definedName name="IQ_OPEB_CI_OTHER_MISC_ADJ" hidden="1">"c5768"</definedName>
    <definedName name="IQ_OPEB_CI_OTHER_MISC_ADJ_DOM" hidden="1">"c5766"</definedName>
    <definedName name="IQ_OPEB_CI_OTHER_MISC_ADJ_FOREIGN" hidden="1">"c5767"</definedName>
    <definedName name="IQ_OPEB_CI_PRIOR_SERVICE" hidden="1">"c5762"</definedName>
    <definedName name="IQ_OPEB_CI_PRIOR_SERVICE_DOM" hidden="1">"c5760"</definedName>
    <definedName name="IQ_OPEB_CI_PRIOR_SERVICE_FOREIGN" hidden="1">"c5761"</definedName>
    <definedName name="IQ_OPEB_CI_TRANSITION" hidden="1">"c5765"</definedName>
    <definedName name="IQ_OPEB_CI_TRANSITION_DOM" hidden="1">"c5763"</definedName>
    <definedName name="IQ_OPEB_CI_TRANSITION_FOREIGN" hidden="1">"c5764"</definedName>
    <definedName name="IQ_OPEB_CL" hidden="1">"c5789"</definedName>
    <definedName name="IQ_OPEB_CL_DOM" hidden="1">"c5787"</definedName>
    <definedName name="IQ_OPEB_CL_FOREIGN" hidden="1">"c5788"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LT_ASSETS" hidden="1">"c5786"</definedName>
    <definedName name="IQ_OPEB_LT_ASSETS_DOM" hidden="1">"c5784"</definedName>
    <definedName name="IQ_OPEB_LT_ASSETS_FOREIGN" hidden="1">"c5785"</definedName>
    <definedName name="IQ_OPEB_LT_LIAB" hidden="1">"c5792"</definedName>
    <definedName name="IQ_OPEB_LT_LIAB_DOM" hidden="1">"c5790"</definedName>
    <definedName name="IQ_OPEB_LT_LIAB_FOREIGN" hidden="1">"c5791"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PRIOR_SERVICE_NEXT" hidden="1">"c5777"</definedName>
    <definedName name="IQ_OPEB_PRIOR_SERVICE_NEXT_DOM" hidden="1">"c5775"</definedName>
    <definedName name="IQ_OPEB_PRIOR_SERVICE_NEXT_FOREIGN" hidden="1">"c5776"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TRANSITION_NEXT" hidden="1">"c5780"</definedName>
    <definedName name="IQ_OPEB_TRANSITION_NEXT_DOM" hidden="1">"c5778"</definedName>
    <definedName name="IQ_OPEB_TRANSITION_NEXT_FOREIGN" hidden="1">"c5779"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PRICE" hidden="1">"c848"</definedName>
    <definedName name="IQ_OPER_INC" hidden="1">"c849"</definedName>
    <definedName name="IQ_OPER_INC_ACT_OR_EST" hidden="1">"c2220"</definedName>
    <definedName name="IQ_OPER_INC_ACT_OR_EST_REUT" hidden="1">"c5466"</definedName>
    <definedName name="IQ_OPER_INC_BR" hidden="1">"c850"</definedName>
    <definedName name="IQ_OPER_INC_EST" hidden="1">"c1688"</definedName>
    <definedName name="IQ_OPER_INC_EST_REUT" hidden="1">"c5340"</definedName>
    <definedName name="IQ_OPER_INC_FIN" hidden="1">"c851"</definedName>
    <definedName name="IQ_OPER_INC_HIGH_EST" hidden="1">"c1690"</definedName>
    <definedName name="IQ_OPER_INC_HIGH_EST_REUT" hidden="1">"c5342"</definedName>
    <definedName name="IQ_OPER_INC_INS" hidden="1">"c852"</definedName>
    <definedName name="IQ_OPER_INC_LOW_EST" hidden="1">"c1691"</definedName>
    <definedName name="IQ_OPER_INC_LOW_EST_REUT" hidden="1">"c5343"</definedName>
    <definedName name="IQ_OPER_INC_MARGIN" hidden="1">"c1448"</definedName>
    <definedName name="IQ_OPER_INC_MEDIAN_EST" hidden="1">"c1689"</definedName>
    <definedName name="IQ_OPER_INC_MEDIAN_EST_REUT" hidden="1">"c5341"</definedName>
    <definedName name="IQ_OPER_INC_NUM_EST" hidden="1">"c1692"</definedName>
    <definedName name="IQ_OPER_INC_NUM_EST_REUT" hidden="1">"c5344"</definedName>
    <definedName name="IQ_OPER_INC_RE" hidden="1">"c6240"</definedName>
    <definedName name="IQ_OPER_INC_REIT" hidden="1">"c853"</definedName>
    <definedName name="IQ_OPER_INC_STDDEV_EST" hidden="1">"c1693"</definedName>
    <definedName name="IQ_OPER_INC_STDDEV_EST_REUT" hidden="1">"c5345"</definedName>
    <definedName name="IQ_OPER_INC_UTI" hidden="1">"c854"</definedName>
    <definedName name="IQ_OPERATING_EXP_AVG_ASSETS_FFIEC" hidden="1">"c13373"</definedName>
    <definedName name="IQ_OPERATING_INC_AVG_ASSETS_FFIEC" hidden="1">"c13368"</definedName>
    <definedName name="IQ_OPERATING_INC_TE_AVG_ASSETS_FFIEC" hidden="1">"c13360"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ABLE_END_OS" hidden="1">"c5804"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BEG_OS" hidden="1">"c5805"</definedName>
    <definedName name="IQ_OPTIONS_STRIKE_PRICE_CANCELLED" hidden="1">"c5807"</definedName>
    <definedName name="IQ_OPTIONS_STRIKE_PRICE_EXERCISABLE" hidden="1">"c5808"</definedName>
    <definedName name="IQ_OPTIONS_STRIKE_PRICE_EXERCISED" hidden="1">"c5806"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REO_1_4_RESIDENTIAL_FDIC" hidden="1">"c6454"</definedName>
    <definedName name="IQ_OREO_COMMERCIAL_RE_FDIC" hidden="1">"c6456"</definedName>
    <definedName name="IQ_OREO_CONSTRUCTION_DEVELOPMENT_FDIC" hidden="1">"c6457"</definedName>
    <definedName name="IQ_OREO_FARMLAND_FDIC" hidden="1">"c6458"</definedName>
    <definedName name="IQ_OREO_FFIEC" hidden="1">"c12831"</definedName>
    <definedName name="IQ_OREO_FOREIGN_FDIC" hidden="1">"c6460"</definedName>
    <definedName name="IQ_OREO_MULTI_FAMILY_RESIDENTIAL_FDIC" hidden="1">"c6455"</definedName>
    <definedName name="IQ_OREO_OTHER_FFIEC" hidden="1">"c12833"</definedName>
    <definedName name="IQ_OTHER_ADDITIONS_T1_FFIEC" hidden="1">"c13142"</definedName>
    <definedName name="IQ_OTHER_ADDITIONS_T2_FFIEC" hidden="1">"c13148"</definedName>
    <definedName name="IQ_OTHER_ADJUST_GROSS_LOANS" hidden="1">"c859"</definedName>
    <definedName name="IQ_OTHER_ADJUSTMENTS_COVERED" hidden="1">"c9961"</definedName>
    <definedName name="IQ_OTHER_ADJUSTMENTS_FFIEC" hidden="1">"c12972"</definedName>
    <definedName name="IQ_OTHER_ADJUSTMENTS_GROUP" hidden="1">"c9947"</definedName>
    <definedName name="IQ_OTHER_AMORT" hidden="1">"c5563"</definedName>
    <definedName name="IQ_OTHER_AMORT_BNK" hidden="1">"c5565"</definedName>
    <definedName name="IQ_OTHER_AMORT_BR" hidden="1">"c5566"</definedName>
    <definedName name="IQ_OTHER_AMORT_FIN" hidden="1">"c5567"</definedName>
    <definedName name="IQ_OTHER_AMORT_INS" hidden="1">"c5568"</definedName>
    <definedName name="IQ_OTHER_AMORT_RE" hidden="1">"c6287"</definedName>
    <definedName name="IQ_OTHER_AMORT_REIT" hidden="1">"c5569"</definedName>
    <definedName name="IQ_OTHER_AMORT_UTI" hidden="1">"c5570"</definedName>
    <definedName name="IQ_OTHER_ASSETS" hidden="1">"c860"</definedName>
    <definedName name="IQ_OTHER_ASSETS_BNK" hidden="1">"c861"</definedName>
    <definedName name="IQ_OTHER_ASSETS_BR" hidden="1">"c862"</definedName>
    <definedName name="IQ_OTHER_ASSETS_FDIC" hidden="1">"c6338"</definedName>
    <definedName name="IQ_OTHER_ASSETS_FFIEC" hidden="1">"c12848"</definedName>
    <definedName name="IQ_OTHER_ASSETS_FIN" hidden="1">"c863"</definedName>
    <definedName name="IQ_OTHER_ASSETS_INS" hidden="1">"c864"</definedName>
    <definedName name="IQ_OTHER_ASSETS_RE" hidden="1">"c6241"</definedName>
    <definedName name="IQ_OTHER_ASSETS_REIT" hidden="1">"c865"</definedName>
    <definedName name="IQ_OTHER_ASSETS_SERV_RIGHTS" hidden="1">"c2243"</definedName>
    <definedName name="IQ_OTHER_ASSETS_TOTAL_FFIEC" hidden="1">"c12841"</definedName>
    <definedName name="IQ_OTHER_ASSETS_UTI" hidden="1">"c866"</definedName>
    <definedName name="IQ_OTHER_BEARING_LIAB" hidden="1">"c1608"</definedName>
    <definedName name="IQ_OTHER_BEDS" hidden="1">"c8784"</definedName>
    <definedName name="IQ_OTHER_BENEFITS_OBLIGATION" hidden="1">"c867"</definedName>
    <definedName name="IQ_OTHER_BORROWED_FUNDS_FDIC" hidden="1">"c6345"</definedName>
    <definedName name="IQ_OTHER_BORROWED_MONEY_FFIEC" hidden="1">"c12862"</definedName>
    <definedName name="IQ_OTHER_BORROWED_MONEY_LT_FFIEC" hidden="1">"c12865"</definedName>
    <definedName name="IQ_OTHER_BORROWED_MONEY_ST_FFIEC" hidden="1">"c12864"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" hidden="1">"c6242"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INS" hidden="1">"C6021"</definedName>
    <definedName name="IQ_OTHER_CL_SUPPL_RE" hidden="1">"c6243"</definedName>
    <definedName name="IQ_OTHER_CL_SUPPL_REIT" hidden="1">"c882"</definedName>
    <definedName name="IQ_OTHER_CL_SUPPL_UTI" hidden="1">"c883"</definedName>
    <definedName name="IQ_OTHER_CL_UTI" hidden="1">"c884"</definedName>
    <definedName name="IQ_OTHER_COMPREHENSIVE_INCOME_FDIC" hidden="1">"c6503"</definedName>
    <definedName name="IQ_OTHER_COMPREHENSIVE_INCOME_FFIEC" hidden="1">"c12970"</definedName>
    <definedName name="IQ_OTHER_CONSTRUCTION_GROSS_LOANS_FFIEC" hidden="1">"c13403"</definedName>
    <definedName name="IQ_OTHER_CONSTRUCTION_LOANS_DUE_30_89_FFIEC" hidden="1">"c13258"</definedName>
    <definedName name="IQ_OTHER_CONSTRUCTION_LOANS_DUE_90_FFIEC" hidden="1">"c13286"</definedName>
    <definedName name="IQ_OTHER_CONSTRUCTION_LOANS_NON_ACCRUAL_FFIEC" hidden="1">"c13312"</definedName>
    <definedName name="IQ_OTHER_CONSTRUCTION_LOANS_UNUSED_FFIEC" hidden="1">"c13245"</definedName>
    <definedName name="IQ_OTHER_CONSTRUCTION_RISK_BASED_FFIEC" hidden="1">"c13424"</definedName>
    <definedName name="IQ_OTHER_CONSUMER_LL_REC_FFIEC" hidden="1">"c12891"</definedName>
    <definedName name="IQ_OTHER_CONSUMER_LOANS_FFIEC" hidden="1">"c12824"</definedName>
    <definedName name="IQ_OTHER_CONSUMER_LOANS_TRADING_DOM_FFIEC" hidden="1">"c12935"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BT_SEC_DOM_AVAIL_SALE_FFIEC" hidden="1">"c12803"</definedName>
    <definedName name="IQ_OTHER_DEBT_SEC_FOREIGN_AVAIL_SALE_FFIEC" hidden="1">"c12804"</definedName>
    <definedName name="IQ_OTHER_DEBT_SEC_INVEST_SECURITIES_FFIEC" hidden="1">"c13462"</definedName>
    <definedName name="IQ_OTHER_DEBT_SEC_TRADING_DOM_FFIEC" hidden="1">"c12924"</definedName>
    <definedName name="IQ_OTHER_DEBT_SEC_TRADING_FFIEC" hidden="1">"c12819"</definedName>
    <definedName name="IQ_OTHER_DEBT_SECURITIES_DOM_FFIEC" hidden="1">"c12789"</definedName>
    <definedName name="IQ_OTHER_DEBT_SECURITIES_FOREIGN_FFIEC" hidden="1">"c12790"</definedName>
    <definedName name="IQ_OTHER_DEDUCTIONS_LEVERAGE_RATIO_FFIEC" hidden="1">"c13158"</definedName>
    <definedName name="IQ_OTHER_DEP" hidden="1">"c885"</definedName>
    <definedName name="IQ_OTHER_DEPOSITORY_INSTITUTIONS_LOANS_FDIC" hidden="1">"c6436"</definedName>
    <definedName name="IQ_OTHER_DEPOSITORY_INSTITUTIONS_TOTAL_LOANS_FOREIGN_FDIC" hidden="1">"c6442"</definedName>
    <definedName name="IQ_OTHER_DEPOSITS_FFIEC" hidden="1">"c12994"</definedName>
    <definedName name="IQ_OTHER_DERIVATIVES_BENEFICIARY_FFIEC" hidden="1">"c13122"</definedName>
    <definedName name="IQ_OTHER_DERIVATIVES_GUARANTOR_FFIEC" hidden="1">"c13115"</definedName>
    <definedName name="IQ_OTHER_DOMESTIC_DEBT_SECURITIES_FDIC" hidden="1">"c6302"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CAPITAL_COMPS_FFIEC" hidden="1">"c12880"</definedName>
    <definedName name="IQ_OTHER_EQUITY_FFIEC" hidden="1">"c12879"</definedName>
    <definedName name="IQ_OTHER_EQUITY_FIN" hidden="1">"c889"</definedName>
    <definedName name="IQ_OTHER_EQUITY_INS" hidden="1">"c890"</definedName>
    <definedName name="IQ_OTHER_EQUITY_RE" hidden="1">"c6244"</definedName>
    <definedName name="IQ_OTHER_EQUITY_REIT" hidden="1">"c891"</definedName>
    <definedName name="IQ_OTHER_EQUITY_UTI" hidden="1">"c892"</definedName>
    <definedName name="IQ_OTHER_EXP_OPERATING_INC_FFIEC" hidden="1">"c13381"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" hidden="1">"c6245"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" hidden="1">"c6246"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FOREIGN_LOANS_FOREIGN_FFIEC" hidden="1">"c13482"</definedName>
    <definedName name="IQ_OTHER_INSURANCE_FEES_FDIC" hidden="1">"c6672"</definedName>
    <definedName name="IQ_OTHER_INSURANCE_PREMIUMS_FFIEC" hidden="1">"c13071"</definedName>
    <definedName name="IQ_OTHER_INT_EXPENSE_FFIEC" hidden="1">"c12999"</definedName>
    <definedName name="IQ_OTHER_INT_INCOME_FFIEC" hidden="1">"c12988"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" hidden="1">"c6247"</definedName>
    <definedName name="IQ_OTHER_INTAN_REIT" hidden="1">"c912"</definedName>
    <definedName name="IQ_OTHER_INTAN_UTI" hidden="1">"c913"</definedName>
    <definedName name="IQ_OTHER_INTANGIBLE_ASSETS_FFIEC" hidden="1">"c12837"</definedName>
    <definedName name="IQ_OTHER_INTANGIBLE_ASSETS_TOT_FFIEC" hidden="1">"c12840"</definedName>
    <definedName name="IQ_OTHER_INTANGIBLE_FDIC" hidden="1">"c6337"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" hidden="1">"c6248"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" hidden="1">"c6249"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EASES_DUE_30_89_FFIEC" hidden="1">"c13278"</definedName>
    <definedName name="IQ_OTHER_LEASES_DUE_90_FFIEC" hidden="1">"c13304"</definedName>
    <definedName name="IQ_OTHER_LEASES_LL_REC_FFIEC" hidden="1">"c12896"</definedName>
    <definedName name="IQ_OTHER_LEASES_NON_ACCRUAL_FFIEC" hidden="1">"c13330"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" hidden="1">"c6250"</definedName>
    <definedName name="IQ_OTHER_LIAB_LT_REIT" hidden="1">"c940"</definedName>
    <definedName name="IQ_OTHER_LIAB_LT_UTI" hidden="1">"c941"</definedName>
    <definedName name="IQ_OTHER_LIAB_RE" hidden="1">"c6251"</definedName>
    <definedName name="IQ_OTHER_LIAB_REIT" hidden="1">"c942"</definedName>
    <definedName name="IQ_OTHER_LIAB_UTI" hidden="1">"c943"</definedName>
    <definedName name="IQ_OTHER_LIAB_WRITTEN" hidden="1">"c944"</definedName>
    <definedName name="IQ_OTHER_LIABILITIES_FDIC" hidden="1">"c6347"</definedName>
    <definedName name="IQ_OTHER_LIABILITIES_FFIEC" hidden="1">"c12872"</definedName>
    <definedName name="IQ_OTHER_LIABILITIES_TOTAL_FFIEC" hidden="1">"c12869"</definedName>
    <definedName name="IQ_OTHER_LL_REC_FFIEC" hidden="1">"c12894"</definedName>
    <definedName name="IQ_OTHER_LOANS" hidden="1">"c945"</definedName>
    <definedName name="IQ_OTHER_LOANS_CHARGE_OFFS_FDIC" hidden="1">"c6601"</definedName>
    <definedName name="IQ_OTHER_LOANS_DUE_30_89_FFIEC" hidden="1">"c13275"</definedName>
    <definedName name="IQ_OTHER_LOANS_DUE_90_FFIEC" hidden="1">"c13301"</definedName>
    <definedName name="IQ_OTHER_LOANS_FFIEC" hidden="1">"c12825"</definedName>
    <definedName name="IQ_OTHER_LOANS_FOREIGN_FDIC" hidden="1">"c6446"</definedName>
    <definedName name="IQ_OTHER_LOANS_GROSS_LOANS_FFIEC" hidden="1">"c13414"</definedName>
    <definedName name="IQ_OTHER_LOANS_INDIVIDUALS_CHARGE_OFFS_FFIEC" hidden="1">"c13181"</definedName>
    <definedName name="IQ_OTHER_LOANS_INDIVIDUALS_DUE_30_89_FFIEC" hidden="1">"c13273"</definedName>
    <definedName name="IQ_OTHER_LOANS_INDIVIDUALS_DUE_90_FFIEC" hidden="1">"c13299"</definedName>
    <definedName name="IQ_OTHER_LOANS_INDIVIDUALS_NON_ACCRUAL_FFIEC" hidden="1">"c13325"</definedName>
    <definedName name="IQ_OTHER_LOANS_INDIVIDUALS_RECOV_FFIEC" hidden="1">"c13203"</definedName>
    <definedName name="IQ_OTHER_LOANS_LEASES_FDIC" hidden="1">"c6322"</definedName>
    <definedName name="IQ_OTHER_LOANS_LL_REC_DOM_FFIEC" hidden="1">"c12914"</definedName>
    <definedName name="IQ_OTHER_LOANS_NET_CHARGE_OFFS_FDIC" hidden="1">"c6639"</definedName>
    <definedName name="IQ_OTHER_LOANS_NON_ACCRUAL_FFIEC" hidden="1">"c13327"</definedName>
    <definedName name="IQ_OTHER_LOANS_RECOVERIES_FDIC" hidden="1">"c6620"</definedName>
    <definedName name="IQ_OTHER_LOANS_RISK_BASED_FFIEC" hidden="1">"c13435"</definedName>
    <definedName name="IQ_OTHER_LOANS_TOTAL_FDIC" hidden="1">"c6432"</definedName>
    <definedName name="IQ_OTHER_LOANS_TRADING_DOM_FFIEC" hidden="1">"c12936"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" hidden="1">"c6252"</definedName>
    <definedName name="IQ_OTHER_LT_ASSETS_REIT" hidden="1">"c951"</definedName>
    <definedName name="IQ_OTHER_LT_ASSETS_UTI" hidden="1">"c952"</definedName>
    <definedName name="IQ_OTHER_MBS_AVAIL_SALE_FFIEC" hidden="1">"c12801"</definedName>
    <definedName name="IQ_OTHER_MBS_FFIEC" hidden="1">"c12787"</definedName>
    <definedName name="IQ_OTHER_MBS_ISSUED_FNMA_GNMA_TRADING_DOM_FFIEC" hidden="1">"c12922"</definedName>
    <definedName name="IQ_OTHER_MBS_ISSUED_FNMA_GNMA_TRADING_FFIEC" hidden="1">"c12817"</definedName>
    <definedName name="IQ_OTHER_MBS_TRADING_DOM_FFIEC" hidden="1">"c12923"</definedName>
    <definedName name="IQ_OTHER_MBS_TRADING_FFIEC" hidden="1">"c12818"</definedName>
    <definedName name="IQ_OTHER_NET" hidden="1">"c1453"</definedName>
    <definedName name="IQ_OTHER_NON_INT_ALLOCATIONS_FFIEC" hidden="1">"c13065"</definedName>
    <definedName name="IQ_OTHER_NON_INT_EXP" hidden="1">"c953"</definedName>
    <definedName name="IQ_OTHER_NON_INT_EXP_FDIC" hidden="1">"c6578"</definedName>
    <definedName name="IQ_OTHER_NON_INT_EXP_FFIEC" hidden="1">"c13027"</definedName>
    <definedName name="IQ_OTHER_NON_INT_EXP_TOTAL" hidden="1">"c954"</definedName>
    <definedName name="IQ_OTHER_NON_INT_EXPENSE_FDIC" hidden="1">"c6679"</definedName>
    <definedName name="IQ_OTHER_NON_INT_INC" hidden="1">"c955"</definedName>
    <definedName name="IQ_OTHER_NON_INT_INC_FDIC" hidden="1">"c6676"</definedName>
    <definedName name="IQ_OTHER_NON_INT_INC_OPERATING_INC_FFIEC" hidden="1">"c13392"</definedName>
    <definedName name="IQ_OTHER_NON_INT_INCOME_FFIEC" hidden="1">"c13016"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" hidden="1">"c6253"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" hidden="1">"c6254"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NONFARM_NONRES_GROSS_LOANS_FFIEC" hidden="1">"c13407"</definedName>
    <definedName name="IQ_OTHER_NONFARM_NONRES_LL_REC_DOM_FFIEC" hidden="1">"c12907"</definedName>
    <definedName name="IQ_OTHER_NONFARM_NONRES_RISK_BASED_FFIEC" hidden="1">"c13428"</definedName>
    <definedName name="IQ_OTHER_OFF_BS_ITEMS_FFIEC" hidden="1">"c13126"</definedName>
    <definedName name="IQ_OTHER_OFF_BS_LIAB_FDIC" hidden="1">"c6533"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" hidden="1">"c6255"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" hidden="1">"c6256"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" hidden="1">"c6257"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" hidden="1">"c6258"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ABLE_END_OS" hidden="1">"c5814"</definedName>
    <definedName name="IQ_OTHER_OPTIONS_EXERCISED" hidden="1">"c2688"</definedName>
    <definedName name="IQ_OTHER_OPTIONS_GRANTED" hidden="1">"c2687"</definedName>
    <definedName name="IQ_OTHER_OPTIONS_STRIKE_PRICE_BEG_OS" hidden="1">"c5815"</definedName>
    <definedName name="IQ_OTHER_OPTIONS_STRIKE_PRICE_CANCELLED" hidden="1">"c5817"</definedName>
    <definedName name="IQ_OTHER_OPTIONS_STRIKE_PRICE_EXERCISABLE" hidden="1">"c5818"</definedName>
    <definedName name="IQ_OTHER_OPTIONS_STRIKE_PRICE_EXERCISED" hidden="1">"c5816"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PROP" hidden="1">"c8764"</definedName>
    <definedName name="IQ_OTHER_RE_OWNED_FDIC" hidden="1">"c6330"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" hidden="1">"c6259"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" hidden="1">"c6260"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REVOL_CREDIT_CONSUMER_LOANS_FFIEC" hidden="1">"c12823"</definedName>
    <definedName name="IQ_OTHER_REVOLVING_CREDIT_LL_REC_FFIEC" hidden="1">"c12890"</definedName>
    <definedName name="IQ_OTHER_REVOLVING_CREDIT_LOANS_TRADING_DOM_FFIEC" hidden="1">"c12934"</definedName>
    <definedName name="IQ_OTHER_ROOMS" hidden="1">"c8788"</definedName>
    <definedName name="IQ_OTHER_SAVINGS_DEPOSITS_FDIC" hidden="1">"c6554"</definedName>
    <definedName name="IQ_OTHER_SQ_FT" hidden="1">"c8780"</definedName>
    <definedName name="IQ_OTHER_STRIKE_PRICE_GRANTED" hidden="1">"c2692"</definedName>
    <definedName name="IQ_OTHER_TRADING_ASSETS_FFIEC" hidden="1">"c12826"</definedName>
    <definedName name="IQ_OTHER_TRADING_ASSETS_TOTAL_FFIEC" hidden="1">"c12937"</definedName>
    <definedName name="IQ_OTHER_TRADING_LIABILITIES_FFIEC" hidden="1">"c12860"</definedName>
    <definedName name="IQ_OTHER_TRANSACTIONS_FDIC" hidden="1">"c6504"</definedName>
    <definedName name="IQ_OTHER_UNDRAWN" hidden="1">"c2522"</definedName>
    <definedName name="IQ_OTHER_UNITS" hidden="1">"c8772"</definedName>
    <definedName name="IQ_OTHER_UNUSED_COMMITMENTS_FDIC" hidden="1">"c6530"</definedName>
    <definedName name="IQ_OTHER_UNUSED_FFIEC" hidden="1">"c13248"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" hidden="1">"c6282"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" hidden="1">"c6281"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VER_FIFETEEN_YEAR_MORTGAGE_PASS_THROUGHS_FDIC" hidden="1">"c6416"</definedName>
    <definedName name="IQ_OVER_FIFTEEN_YEAR_FIXED_AND_FLOATING_RATE_FDIC" hidden="1">"c6424"</definedName>
    <definedName name="IQ_OVER_THREE_YEARS_FDIC" hidden="1">"c6418"</definedName>
    <definedName name="IQ_OVERHEAD_EXP_AVG_ASSETS_FFIEC" hidden="1">"c13361"</definedName>
    <definedName name="IQ_OVERHEAD_EXP_REV_FFIEC" hidden="1">"c13494"</definedName>
    <definedName name="IQ_OVERHEAD_NON_INT_INC_AVG_ASSETS_FFIEC" hidden="1">"c13374"</definedName>
    <definedName name="IQ_OVERHEAD_NON_INT_OPERATING_INC_FFIEC" hidden="1">"c13393"</definedName>
    <definedName name="IQ_OVERHEAD_OPERATING_INC_FFIEC" hidden="1">"c13378"</definedName>
    <definedName name="IQ_OWNER_OCCUPIED_GROSS_LOANS_FFIEC" hidden="1">"c13406"</definedName>
    <definedName name="IQ_OWNER_OCCUPIED_LOANS_RISK_BASED_FFIEC" hidden="1">"c13427"</definedName>
    <definedName name="IQ_OWNER_OCCUPIED_NONFARM_NONRES_LL_REC_DOM_FFIEC" hidden="1">"c12906"</definedName>
    <definedName name="IQ_OWNERSHIP" hidden="1">"c2160"</definedName>
    <definedName name="IQ_PART_TIME" hidden="1">"c1024"</definedName>
    <definedName name="IQ_PARTICIPATION_POOLS_RESIDENTIAL_MORTGAGES_FDIC" hidden="1">"c6403"</definedName>
    <definedName name="IQ_PARTICIPATIONS_ACCEPTANCES_FFIEC" hidden="1">"c13254"</definedName>
    <definedName name="IQ_PARTNERSHIP_INC_RE" hidden="1">"c12039"</definedName>
    <definedName name="IQ_PASS_THROUGH_FNMA_GNMA_TRADING_FFIEC" hidden="1">"c12816"</definedName>
    <definedName name="IQ_PAST_DUE_30_1_4_FAMILY_LOANS_FDIC" hidden="1">"c6693"</definedName>
    <definedName name="IQ_PAST_DUE_30_AUTO_LOANS_FDIC" hidden="1">"c6687"</definedName>
    <definedName name="IQ_PAST_DUE_30_CL_LOANS_FDIC" hidden="1">"c6688"</definedName>
    <definedName name="IQ_PAST_DUE_30_CREDIT_CARDS_RECEIVABLES_FDIC" hidden="1">"c6690"</definedName>
    <definedName name="IQ_PAST_DUE_30_HOME_EQUITY_LINES_FDIC" hidden="1">"c6691"</definedName>
    <definedName name="IQ_PAST_DUE_30_OTHER_CONSUMER_LOANS_FDIC" hidden="1">"c6689"</definedName>
    <definedName name="IQ_PAST_DUE_30_OTHER_LOANS_FDIC" hidden="1">"c6692"</definedName>
    <definedName name="IQ_PAST_DUE_90_1_4_FAMILY_LOANS_FDIC" hidden="1">"c6700"</definedName>
    <definedName name="IQ_PAST_DUE_90_AUTO_LOANS_FDIC" hidden="1">"c6694"</definedName>
    <definedName name="IQ_PAST_DUE_90_CL_LOANS_FDIC" hidden="1">"c6695"</definedName>
    <definedName name="IQ_PAST_DUE_90_CREDIT_CARDS_RECEIVABLES_FDIC" hidden="1">"c6697"</definedName>
    <definedName name="IQ_PAST_DUE_90_HOME_EQUITY_LINES_FDIC" hidden="1">"c6698"</definedName>
    <definedName name="IQ_PAST_DUE_90_OTHER_CONSUMER_LOANS_FDIC" hidden="1">"c6696"</definedName>
    <definedName name="IQ_PAST_DUE_90_OTHER_LOANS_FDIC" hidden="1">"c6699"</definedName>
    <definedName name="IQ_PAST_DUE_ALLOW_GROSS_LOANS_FFIEC" hidden="1">"c13416"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CIQ" hidden="1">"c4042"</definedName>
    <definedName name="IQ_PE_EXCL_FWD_REUT" hidden="1">"c4049"</definedName>
    <definedName name="IQ_PE_NORMALIZED" hidden="1">"c2207"</definedName>
    <definedName name="IQ_PE_RATIO" hidden="1">"c1610"</definedName>
    <definedName name="IQ_PEG_FWD" hidden="1">"c1863"</definedName>
    <definedName name="IQ_PEG_FWD_CIQ" hidden="1">"c4045"</definedName>
    <definedName name="IQ_PEG_FWD_REUT" hidden="1">"c4052"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CT_NEXT" hidden="1">"c5738"</definedName>
    <definedName name="IQ_PENSION_ACT_NEXT_DOM" hidden="1">"c5736"</definedName>
    <definedName name="IQ_PENSION_ACT_NEXT_FOREIGN" hidden="1">"c5737"</definedName>
    <definedName name="IQ_PENSION_AMT_RECOG_NEXT_DOM" hidden="1">"c5745"</definedName>
    <definedName name="IQ_PENSION_AMT_RECOG_NEXT_FOREIGN" hidden="1">"c5746"</definedName>
    <definedName name="IQ_PENSION_AMT_RECOG_PERIOD" hidden="1">"c5747"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I_ACT" hidden="1">"c5723"</definedName>
    <definedName name="IQ_PENSION_CI_ACT_DOM" hidden="1">"c5721"</definedName>
    <definedName name="IQ_PENSION_CI_ACT_FOREIGN" hidden="1">"c5722"</definedName>
    <definedName name="IQ_PENSION_CI_NET_AMT_RECOG" hidden="1">"c5735"</definedName>
    <definedName name="IQ_PENSION_CI_NET_AMT_RECOG_DOM" hidden="1">"c5733"</definedName>
    <definedName name="IQ_PENSION_CI_NET_AMT_RECOG_FOREIGN" hidden="1">"c5734"</definedName>
    <definedName name="IQ_PENSION_CI_OTHER_MISC_ADJ" hidden="1">"c5732"</definedName>
    <definedName name="IQ_PENSION_CI_OTHER_MISC_ADJ_DOM" hidden="1">"c5730"</definedName>
    <definedName name="IQ_PENSION_CI_OTHER_MISC_ADJ_FOREIGN" hidden="1">"c5731"</definedName>
    <definedName name="IQ_PENSION_CI_PRIOR_SERVICE" hidden="1">"c5726"</definedName>
    <definedName name="IQ_PENSION_CI_PRIOR_SERVICE_DOM" hidden="1">"c5724"</definedName>
    <definedName name="IQ_PENSION_CI_PRIOR_SERVICE_FOREIGN" hidden="1">"c5725"</definedName>
    <definedName name="IQ_PENSION_CI_TRANSITION" hidden="1">"c5729"</definedName>
    <definedName name="IQ_PENSION_CI_TRANSITION_DOM" hidden="1">"c5727"</definedName>
    <definedName name="IQ_PENSION_CI_TRANSITION_FOREIGN" hidden="1">"c5728"</definedName>
    <definedName name="IQ_PENSION_CL" hidden="1">"c5753"</definedName>
    <definedName name="IQ_PENSION_CL_DOM" hidden="1">"c5751"</definedName>
    <definedName name="IQ_PENSION_CL_FOREIGN" hidden="1">"c5752"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LT_ASSETS" hidden="1">"c5750"</definedName>
    <definedName name="IQ_PENSION_LT_ASSETS_DOM" hidden="1">"c5748"</definedName>
    <definedName name="IQ_PENSION_LT_ASSETS_FOREIGN" hidden="1">"c5749"</definedName>
    <definedName name="IQ_PENSION_LT_LIAB" hidden="1">"c5756"</definedName>
    <definedName name="IQ_PENSION_LT_LIAB_DOM" hidden="1">"c5754"</definedName>
    <definedName name="IQ_PENSION_LT_LIAB_FOREIGN" hidden="1">"c5755"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IOR_SERVICE_NEXT" hidden="1">"c5741"</definedName>
    <definedName name="IQ_PENSION_PRIOR_SERVICE_NEXT_DOM" hidden="1">"c5739"</definedName>
    <definedName name="IQ_PENSION_PRIOR_SERVICE_NEXT_FOREIGN" hidden="1">"c5740"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TRANSITION_NEXT" hidden="1">"c5744"</definedName>
    <definedName name="IQ_PENSION_TRANSITION_NEXT_DOM" hidden="1">"c5742"</definedName>
    <definedName name="IQ_PENSION_TRANSITION_NEXT_FOREIGN" hidden="1">"c5743"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CENT_CHANGE_EST_5YR_GROWTH_RATE_12MONTHS" hidden="1">"c1852"</definedName>
    <definedName name="IQ_PERCENT_CHANGE_EST_5YR_GROWTH_RATE_12MONTHS_CIQ" hidden="1">"c3790"</definedName>
    <definedName name="IQ_PERCENT_CHANGE_EST_5YR_GROWTH_RATE_12MONTHS_REUT" hidden="1">"c3959"</definedName>
    <definedName name="IQ_PERCENT_CHANGE_EST_5YR_GROWTH_RATE_18MONTHS" hidden="1">"c1853"</definedName>
    <definedName name="IQ_PERCENT_CHANGE_EST_5YR_GROWTH_RATE_18MONTHS_CIQ" hidden="1">"c3791"</definedName>
    <definedName name="IQ_PERCENT_CHANGE_EST_5YR_GROWTH_RATE_18MONTHS_REUT" hidden="1">"c3960"</definedName>
    <definedName name="IQ_PERCENT_CHANGE_EST_5YR_GROWTH_RATE_3MONTHS" hidden="1">"c1849"</definedName>
    <definedName name="IQ_PERCENT_CHANGE_EST_5YR_GROWTH_RATE_3MONTHS_CIQ" hidden="1">"c3787"</definedName>
    <definedName name="IQ_PERCENT_CHANGE_EST_5YR_GROWTH_RATE_3MONTHS_REUT" hidden="1">"c3956"</definedName>
    <definedName name="IQ_PERCENT_CHANGE_EST_5YR_GROWTH_RATE_6MONTHS" hidden="1">"c1850"</definedName>
    <definedName name="IQ_PERCENT_CHANGE_EST_5YR_GROWTH_RATE_6MONTHS_CIQ" hidden="1">"c3788"</definedName>
    <definedName name="IQ_PERCENT_CHANGE_EST_5YR_GROWTH_RATE_6MONTHS_REUT" hidden="1">"c3957"</definedName>
    <definedName name="IQ_PERCENT_CHANGE_EST_5YR_GROWTH_RATE_9MONTHS" hidden="1">"c1851"</definedName>
    <definedName name="IQ_PERCENT_CHANGE_EST_5YR_GROWTH_RATE_9MONTHS_CIQ" hidden="1">"c3789"</definedName>
    <definedName name="IQ_PERCENT_CHANGE_EST_5YR_GROWTH_RATE_9MONTHS_REUT" hidden="1">"c3958"</definedName>
    <definedName name="IQ_PERCENT_CHANGE_EST_5YR_GROWTH_RATE_DAY" hidden="1">"c1846"</definedName>
    <definedName name="IQ_PERCENT_CHANGE_EST_5YR_GROWTH_RATE_DAY_CIQ" hidden="1">"c3785"</definedName>
    <definedName name="IQ_PERCENT_CHANGE_EST_5YR_GROWTH_RATE_DAY_REUT" hidden="1">"c3954"</definedName>
    <definedName name="IQ_PERCENT_CHANGE_EST_5YR_GROWTH_RATE_MONTH" hidden="1">"c1848"</definedName>
    <definedName name="IQ_PERCENT_CHANGE_EST_5YR_GROWTH_RATE_MONTH_CIQ" hidden="1">"c3786"</definedName>
    <definedName name="IQ_PERCENT_CHANGE_EST_5YR_GROWTH_RATE_MONTH_REUT" hidden="1">"c3955"</definedName>
    <definedName name="IQ_PERCENT_CHANGE_EST_5YR_GROWTH_RATE_WEEK" hidden="1">"c1847"</definedName>
    <definedName name="IQ_PERCENT_CHANGE_EST_5YR_GROWTH_RATE_WEEK_CIQ" hidden="1">"c3797"</definedName>
    <definedName name="IQ_PERCENT_CHANGE_EST_5YR_GROWTH_RATE_WEEK_REUT" hidden="1">"c5435"</definedName>
    <definedName name="IQ_PERCENT_CHANGE_EST_CFPS_12MONTHS" hidden="1">"c1812"</definedName>
    <definedName name="IQ_PERCENT_CHANGE_EST_CFPS_12MONTHS_REUT" hidden="1">"c3924"</definedName>
    <definedName name="IQ_PERCENT_CHANGE_EST_CFPS_18MONTHS" hidden="1">"c1813"</definedName>
    <definedName name="IQ_PERCENT_CHANGE_EST_CFPS_18MONTHS_REUT" hidden="1">"c3925"</definedName>
    <definedName name="IQ_PERCENT_CHANGE_EST_CFPS_3MONTHS" hidden="1">"c1809"</definedName>
    <definedName name="IQ_PERCENT_CHANGE_EST_CFPS_3MONTHS_REUT" hidden="1">"c3921"</definedName>
    <definedName name="IQ_PERCENT_CHANGE_EST_CFPS_6MONTHS" hidden="1">"c1810"</definedName>
    <definedName name="IQ_PERCENT_CHANGE_EST_CFPS_6MONTHS_REUT" hidden="1">"c3922"</definedName>
    <definedName name="IQ_PERCENT_CHANGE_EST_CFPS_9MONTHS" hidden="1">"c1811"</definedName>
    <definedName name="IQ_PERCENT_CHANGE_EST_CFPS_9MONTHS_REUT" hidden="1">"c3923"</definedName>
    <definedName name="IQ_PERCENT_CHANGE_EST_CFPS_DAY" hidden="1">"c1806"</definedName>
    <definedName name="IQ_PERCENT_CHANGE_EST_CFPS_DAY_REUT" hidden="1">"c3919"</definedName>
    <definedName name="IQ_PERCENT_CHANGE_EST_CFPS_MONTH" hidden="1">"c1808"</definedName>
    <definedName name="IQ_PERCENT_CHANGE_EST_CFPS_MONTH_REUT" hidden="1">"c3920"</definedName>
    <definedName name="IQ_PERCENT_CHANGE_EST_CFPS_WEEK" hidden="1">"c1807"</definedName>
    <definedName name="IQ_PERCENT_CHANGE_EST_CFPS_WEEK_REUT" hidden="1">"c3962"</definedName>
    <definedName name="IQ_PERCENT_CHANGE_EST_DPS_12MONTHS" hidden="1">"c1820"</definedName>
    <definedName name="IQ_PERCENT_CHANGE_EST_DPS_12MONTHS_REUT" hidden="1">"c3931"</definedName>
    <definedName name="IQ_PERCENT_CHANGE_EST_DPS_18MONTHS" hidden="1">"c1821"</definedName>
    <definedName name="IQ_PERCENT_CHANGE_EST_DPS_18MONTHS_REUT" hidden="1">"c3932"</definedName>
    <definedName name="IQ_PERCENT_CHANGE_EST_DPS_3MONTHS" hidden="1">"c1817"</definedName>
    <definedName name="IQ_PERCENT_CHANGE_EST_DPS_3MONTHS_REUT" hidden="1">"c3928"</definedName>
    <definedName name="IQ_PERCENT_CHANGE_EST_DPS_6MONTHS" hidden="1">"c1818"</definedName>
    <definedName name="IQ_PERCENT_CHANGE_EST_DPS_6MONTHS_REUT" hidden="1">"c3929"</definedName>
    <definedName name="IQ_PERCENT_CHANGE_EST_DPS_9MONTHS" hidden="1">"c1819"</definedName>
    <definedName name="IQ_PERCENT_CHANGE_EST_DPS_9MONTHS_REUT" hidden="1">"c3930"</definedName>
    <definedName name="IQ_PERCENT_CHANGE_EST_DPS_DAY" hidden="1">"c1814"</definedName>
    <definedName name="IQ_PERCENT_CHANGE_EST_DPS_DAY_REUT" hidden="1">"c3926"</definedName>
    <definedName name="IQ_PERCENT_CHANGE_EST_DPS_MONTH" hidden="1">"c1816"</definedName>
    <definedName name="IQ_PERCENT_CHANGE_EST_DPS_MONTH_REUT" hidden="1">"c3927"</definedName>
    <definedName name="IQ_PERCENT_CHANGE_EST_DPS_WEEK" hidden="1">"c1815"</definedName>
    <definedName name="IQ_PERCENT_CHANGE_EST_DPS_WEEK_REUT" hidden="1">"c3963"</definedName>
    <definedName name="IQ_PERCENT_CHANGE_EST_EBITDA_12MONTHS" hidden="1">"c1804"</definedName>
    <definedName name="IQ_PERCENT_CHANGE_EST_EBITDA_12MONTHS_CIQ" hidden="1">"c3748"</definedName>
    <definedName name="IQ_PERCENT_CHANGE_EST_EBITDA_12MONTHS_REUT" hidden="1">"c3917"</definedName>
    <definedName name="IQ_PERCENT_CHANGE_EST_EBITDA_18MONTHS" hidden="1">"c1805"</definedName>
    <definedName name="IQ_PERCENT_CHANGE_EST_EBITDA_18MONTHS_CIQ" hidden="1">"c3749"</definedName>
    <definedName name="IQ_PERCENT_CHANGE_EST_EBITDA_18MONTHS_REUT" hidden="1">"c3918"</definedName>
    <definedName name="IQ_PERCENT_CHANGE_EST_EBITDA_3MONTHS" hidden="1">"c1801"</definedName>
    <definedName name="IQ_PERCENT_CHANGE_EST_EBITDA_3MONTHS_CIQ" hidden="1">"c3745"</definedName>
    <definedName name="IQ_PERCENT_CHANGE_EST_EBITDA_3MONTHS_REUT" hidden="1">"c3914"</definedName>
    <definedName name="IQ_PERCENT_CHANGE_EST_EBITDA_6MONTHS" hidden="1">"c1802"</definedName>
    <definedName name="IQ_PERCENT_CHANGE_EST_EBITDA_6MONTHS_CIQ" hidden="1">"c3746"</definedName>
    <definedName name="IQ_PERCENT_CHANGE_EST_EBITDA_6MONTHS_REUT" hidden="1">"c3915"</definedName>
    <definedName name="IQ_PERCENT_CHANGE_EST_EBITDA_9MONTHS" hidden="1">"c1803"</definedName>
    <definedName name="IQ_PERCENT_CHANGE_EST_EBITDA_9MONTHS_CIQ" hidden="1">"c3747"</definedName>
    <definedName name="IQ_PERCENT_CHANGE_EST_EBITDA_9MONTHS_REUT" hidden="1">"c3916"</definedName>
    <definedName name="IQ_PERCENT_CHANGE_EST_EBITDA_DAY" hidden="1">"c1798"</definedName>
    <definedName name="IQ_PERCENT_CHANGE_EST_EBITDA_DAY_CIQ" hidden="1">"c3743"</definedName>
    <definedName name="IQ_PERCENT_CHANGE_EST_EBITDA_DAY_REUT" hidden="1">"c3912"</definedName>
    <definedName name="IQ_PERCENT_CHANGE_EST_EBITDA_MONTH" hidden="1">"c1800"</definedName>
    <definedName name="IQ_PERCENT_CHANGE_EST_EBITDA_MONTH_CIQ" hidden="1">"c3744"</definedName>
    <definedName name="IQ_PERCENT_CHANGE_EST_EBITDA_MONTH_REUT" hidden="1">"c3913"</definedName>
    <definedName name="IQ_PERCENT_CHANGE_EST_EBITDA_WEEK" hidden="1">"c1799"</definedName>
    <definedName name="IQ_PERCENT_CHANGE_EST_EBITDA_WEEK_CIQ" hidden="1">"c3792"</definedName>
    <definedName name="IQ_PERCENT_CHANGE_EST_EBITDA_WEEK_REUT" hidden="1">"c3961"</definedName>
    <definedName name="IQ_PERCENT_CHANGE_EST_EPS_12MONTHS" hidden="1">"c1788"</definedName>
    <definedName name="IQ_PERCENT_CHANGE_EST_EPS_12MONTHS_CIQ" hidden="1">"c3733"</definedName>
    <definedName name="IQ_PERCENT_CHANGE_EST_EPS_12MONTHS_REUT" hidden="1">"c3902"</definedName>
    <definedName name="IQ_PERCENT_CHANGE_EST_EPS_18MONTHS" hidden="1">"c1789"</definedName>
    <definedName name="IQ_PERCENT_CHANGE_EST_EPS_18MONTHS_CIQ" hidden="1">"c3734"</definedName>
    <definedName name="IQ_PERCENT_CHANGE_EST_EPS_18MONTHS_REUT" hidden="1">"c3903"</definedName>
    <definedName name="IQ_PERCENT_CHANGE_EST_EPS_3MONTHS" hidden="1">"c1785"</definedName>
    <definedName name="IQ_PERCENT_CHANGE_EST_EPS_3MONTHS_CIQ" hidden="1">"c3730"</definedName>
    <definedName name="IQ_PERCENT_CHANGE_EST_EPS_3MONTHS_REUT" hidden="1">"c3899"</definedName>
    <definedName name="IQ_PERCENT_CHANGE_EST_EPS_6MONTHS" hidden="1">"c1786"</definedName>
    <definedName name="IQ_PERCENT_CHANGE_EST_EPS_6MONTHS_CIQ" hidden="1">"c3731"</definedName>
    <definedName name="IQ_PERCENT_CHANGE_EST_EPS_6MONTHS_REUT" hidden="1">"c3900"</definedName>
    <definedName name="IQ_PERCENT_CHANGE_EST_EPS_9MONTHS" hidden="1">"c1787"</definedName>
    <definedName name="IQ_PERCENT_CHANGE_EST_EPS_9MONTHS_CIQ" hidden="1">"c3732"</definedName>
    <definedName name="IQ_PERCENT_CHANGE_EST_EPS_9MONTHS_REUT" hidden="1">"c3901"</definedName>
    <definedName name="IQ_PERCENT_CHANGE_EST_EPS_DAY" hidden="1">"c1782"</definedName>
    <definedName name="IQ_PERCENT_CHANGE_EST_EPS_DAY_CIQ" hidden="1">"c3727"</definedName>
    <definedName name="IQ_PERCENT_CHANGE_EST_EPS_DAY_REUT" hidden="1">"c3896"</definedName>
    <definedName name="IQ_PERCENT_CHANGE_EST_EPS_MONTH" hidden="1">"c1784"</definedName>
    <definedName name="IQ_PERCENT_CHANGE_EST_EPS_MONTH_CIQ" hidden="1">"c3729"</definedName>
    <definedName name="IQ_PERCENT_CHANGE_EST_EPS_MONTH_REUT" hidden="1">"c3898"</definedName>
    <definedName name="IQ_PERCENT_CHANGE_EST_EPS_WEEK" hidden="1">"c1783"</definedName>
    <definedName name="IQ_PERCENT_CHANGE_EST_EPS_WEEK_CIQ" hidden="1">"c3728"</definedName>
    <definedName name="IQ_PERCENT_CHANGE_EST_EPS_WEEK_REUT" hidden="1">"c3897"</definedName>
    <definedName name="IQ_PERCENT_CHANGE_EST_FFO_12MONTHS" hidden="1">"c1828"</definedName>
    <definedName name="IQ_PERCENT_CHANGE_EST_FFO_12MONTHS_REUT" hidden="1">"c3938"</definedName>
    <definedName name="IQ_PERCENT_CHANGE_EST_FFO_18MONTHS" hidden="1">"c1829"</definedName>
    <definedName name="IQ_PERCENT_CHANGE_EST_FFO_18MONTHS_REUT" hidden="1">"c3939"</definedName>
    <definedName name="IQ_PERCENT_CHANGE_EST_FFO_3MONTHS" hidden="1">"c1825"</definedName>
    <definedName name="IQ_PERCENT_CHANGE_EST_FFO_3MONTHS_REUT" hidden="1">"c3935"</definedName>
    <definedName name="IQ_PERCENT_CHANGE_EST_FFO_6MONTHS" hidden="1">"c1826"</definedName>
    <definedName name="IQ_PERCENT_CHANGE_EST_FFO_6MONTHS_REUT" hidden="1">"c3936"</definedName>
    <definedName name="IQ_PERCENT_CHANGE_EST_FFO_9MONTHS" hidden="1">"c1827"</definedName>
    <definedName name="IQ_PERCENT_CHANGE_EST_FFO_9MONTHS_REUT" hidden="1">"c3937"</definedName>
    <definedName name="IQ_PERCENT_CHANGE_EST_FFO_DAY" hidden="1">"c1822"</definedName>
    <definedName name="IQ_PERCENT_CHANGE_EST_FFO_DAY_REUT" hidden="1">"c3933"</definedName>
    <definedName name="IQ_PERCENT_CHANGE_EST_FFO_MONTH" hidden="1">"c1824"</definedName>
    <definedName name="IQ_PERCENT_CHANGE_EST_FFO_MONTH_REUT" hidden="1">"c3934"</definedName>
    <definedName name="IQ_PERCENT_CHANGE_EST_FFO_WEEK" hidden="1">"c1823"</definedName>
    <definedName name="IQ_PERCENT_CHANGE_EST_FFO_WEEK_REUT" hidden="1">"c3964"</definedName>
    <definedName name="IQ_PERCENT_CHANGE_EST_PRICE_TARGET_12MONTHS" hidden="1">"c1844"</definedName>
    <definedName name="IQ_PERCENT_CHANGE_EST_PRICE_TARGET_12MONTHS_CIQ" hidden="1">"c3783"</definedName>
    <definedName name="IQ_PERCENT_CHANGE_EST_PRICE_TARGET_12MONTHS_REUT" hidden="1">"c3952"</definedName>
    <definedName name="IQ_PERCENT_CHANGE_EST_PRICE_TARGET_18MONTHS" hidden="1">"c1845"</definedName>
    <definedName name="IQ_PERCENT_CHANGE_EST_PRICE_TARGET_18MONTHS_CIQ" hidden="1">"c3784"</definedName>
    <definedName name="IQ_PERCENT_CHANGE_EST_PRICE_TARGET_18MONTHS_REUT" hidden="1">"c3953"</definedName>
    <definedName name="IQ_PERCENT_CHANGE_EST_PRICE_TARGET_3MONTHS" hidden="1">"c1841"</definedName>
    <definedName name="IQ_PERCENT_CHANGE_EST_PRICE_TARGET_3MONTHS_CIQ" hidden="1">"c3780"</definedName>
    <definedName name="IQ_PERCENT_CHANGE_EST_PRICE_TARGET_3MONTHS_REUT" hidden="1">"c3949"</definedName>
    <definedName name="IQ_PERCENT_CHANGE_EST_PRICE_TARGET_6MONTHS" hidden="1">"c1842"</definedName>
    <definedName name="IQ_PERCENT_CHANGE_EST_PRICE_TARGET_6MONTHS_CIQ" hidden="1">"c3781"</definedName>
    <definedName name="IQ_PERCENT_CHANGE_EST_PRICE_TARGET_6MONTHS_REUT" hidden="1">"c3950"</definedName>
    <definedName name="IQ_PERCENT_CHANGE_EST_PRICE_TARGET_9MONTHS" hidden="1">"c1843"</definedName>
    <definedName name="IQ_PERCENT_CHANGE_EST_PRICE_TARGET_9MONTHS_CIQ" hidden="1">"c3782"</definedName>
    <definedName name="IQ_PERCENT_CHANGE_EST_PRICE_TARGET_9MONTHS_REUT" hidden="1">"c3951"</definedName>
    <definedName name="IQ_PERCENT_CHANGE_EST_PRICE_TARGET_DAY" hidden="1">"c1838"</definedName>
    <definedName name="IQ_PERCENT_CHANGE_EST_PRICE_TARGET_DAY_CIQ" hidden="1">"c3778"</definedName>
    <definedName name="IQ_PERCENT_CHANGE_EST_PRICE_TARGET_DAY_REUT" hidden="1">"c3947"</definedName>
    <definedName name="IQ_PERCENT_CHANGE_EST_PRICE_TARGET_MONTH" hidden="1">"c1840"</definedName>
    <definedName name="IQ_PERCENT_CHANGE_EST_PRICE_TARGET_MONTH_CIQ" hidden="1">"c3779"</definedName>
    <definedName name="IQ_PERCENT_CHANGE_EST_PRICE_TARGET_MONTH_REUT" hidden="1">"c3948"</definedName>
    <definedName name="IQ_PERCENT_CHANGE_EST_PRICE_TARGET_WEEK" hidden="1">"c1839"</definedName>
    <definedName name="IQ_PERCENT_CHANGE_EST_PRICE_TARGET_WEEK_CIQ" hidden="1">"c3798"</definedName>
    <definedName name="IQ_PERCENT_CHANGE_EST_PRICE_TARGET_WEEK_REUT" hidden="1">"c3967"</definedName>
    <definedName name="IQ_PERCENT_CHANGE_EST_RECO_12MONTHS" hidden="1">"c1836"</definedName>
    <definedName name="IQ_PERCENT_CHANGE_EST_RECO_12MONTHS_CIQ" hidden="1">"c3776"</definedName>
    <definedName name="IQ_PERCENT_CHANGE_EST_RECO_12MONTHS_REUT" hidden="1">"c3945"</definedName>
    <definedName name="IQ_PERCENT_CHANGE_EST_RECO_18MONTHS" hidden="1">"c1837"</definedName>
    <definedName name="IQ_PERCENT_CHANGE_EST_RECO_18MONTHS_CIQ" hidden="1">"c3777"</definedName>
    <definedName name="IQ_PERCENT_CHANGE_EST_RECO_18MONTHS_REUT" hidden="1">"c3946"</definedName>
    <definedName name="IQ_PERCENT_CHANGE_EST_RECO_3MONTHS" hidden="1">"c1833"</definedName>
    <definedName name="IQ_PERCENT_CHANGE_EST_RECO_3MONTHS_CIQ" hidden="1">"c3773"</definedName>
    <definedName name="IQ_PERCENT_CHANGE_EST_RECO_3MONTHS_REUT" hidden="1">"c3942"</definedName>
    <definedName name="IQ_PERCENT_CHANGE_EST_RECO_6MONTHS" hidden="1">"c1834"</definedName>
    <definedName name="IQ_PERCENT_CHANGE_EST_RECO_6MONTHS_CIQ" hidden="1">"c3774"</definedName>
    <definedName name="IQ_PERCENT_CHANGE_EST_RECO_6MONTHS_REUT" hidden="1">"c3943"</definedName>
    <definedName name="IQ_PERCENT_CHANGE_EST_RECO_9MONTHS" hidden="1">"c1835"</definedName>
    <definedName name="IQ_PERCENT_CHANGE_EST_RECO_9MONTHS_CIQ" hidden="1">"c3775"</definedName>
    <definedName name="IQ_PERCENT_CHANGE_EST_RECO_9MONTHS_REUT" hidden="1">"c3944"</definedName>
    <definedName name="IQ_PERCENT_CHANGE_EST_RECO_DAY" hidden="1">"c1830"</definedName>
    <definedName name="IQ_PERCENT_CHANGE_EST_RECO_DAY_CIQ" hidden="1">"c3771"</definedName>
    <definedName name="IQ_PERCENT_CHANGE_EST_RECO_DAY_REUT" hidden="1">"c3940"</definedName>
    <definedName name="IQ_PERCENT_CHANGE_EST_RECO_MONTH" hidden="1">"c1832"</definedName>
    <definedName name="IQ_PERCENT_CHANGE_EST_RECO_MONTH_CIQ" hidden="1">"c3772"</definedName>
    <definedName name="IQ_PERCENT_CHANGE_EST_RECO_MONTH_REUT" hidden="1">"c3941"</definedName>
    <definedName name="IQ_PERCENT_CHANGE_EST_RECO_WEEK" hidden="1">"c1831"</definedName>
    <definedName name="IQ_PERCENT_CHANGE_EST_RECO_WEEK_CIQ" hidden="1">"c3796"</definedName>
    <definedName name="IQ_PERCENT_CHANGE_EST_RECO_WEEK_REUT" hidden="1">"c3965"</definedName>
    <definedName name="IQ_PERCENT_CHANGE_EST_REV_12MONTHS" hidden="1">"c1796"</definedName>
    <definedName name="IQ_PERCENT_CHANGE_EST_REV_12MONTHS_CIQ" hidden="1">"c3741"</definedName>
    <definedName name="IQ_PERCENT_CHANGE_EST_REV_12MONTHS_REUT" hidden="1">"c3910"</definedName>
    <definedName name="IQ_PERCENT_CHANGE_EST_REV_18MONTHS" hidden="1">"c1797"</definedName>
    <definedName name="IQ_PERCENT_CHANGE_EST_REV_18MONTHS_CIQ" hidden="1">"c3742"</definedName>
    <definedName name="IQ_PERCENT_CHANGE_EST_REV_18MONTHS_REUT" hidden="1">"c3911"</definedName>
    <definedName name="IQ_PERCENT_CHANGE_EST_REV_3MONTHS" hidden="1">"c1793"</definedName>
    <definedName name="IQ_PERCENT_CHANGE_EST_REV_3MONTHS_CIQ" hidden="1">"c3738"</definedName>
    <definedName name="IQ_PERCENT_CHANGE_EST_REV_3MONTHS_REUT" hidden="1">"c3907"</definedName>
    <definedName name="IQ_PERCENT_CHANGE_EST_REV_6MONTHS" hidden="1">"c1794"</definedName>
    <definedName name="IQ_PERCENT_CHANGE_EST_REV_6MONTHS_CIQ" hidden="1">"c3739"</definedName>
    <definedName name="IQ_PERCENT_CHANGE_EST_REV_6MONTHS_REUT" hidden="1">"c3908"</definedName>
    <definedName name="IQ_PERCENT_CHANGE_EST_REV_9MONTHS" hidden="1">"c1795"</definedName>
    <definedName name="IQ_PERCENT_CHANGE_EST_REV_9MONTHS_CIQ" hidden="1">"c3740"</definedName>
    <definedName name="IQ_PERCENT_CHANGE_EST_REV_9MONTHS_REUT" hidden="1">"c3909"</definedName>
    <definedName name="IQ_PERCENT_CHANGE_EST_REV_DAY" hidden="1">"c1790"</definedName>
    <definedName name="IQ_PERCENT_CHANGE_EST_REV_DAY_CIQ" hidden="1">"c3735"</definedName>
    <definedName name="IQ_PERCENT_CHANGE_EST_REV_DAY_REUT" hidden="1">"c3904"</definedName>
    <definedName name="IQ_PERCENT_CHANGE_EST_REV_MONTH" hidden="1">"c1792"</definedName>
    <definedName name="IQ_PERCENT_CHANGE_EST_REV_MONTH_CIQ" hidden="1">"c3737"</definedName>
    <definedName name="IQ_PERCENT_CHANGE_EST_REV_MONTH_REUT" hidden="1">"c3906"</definedName>
    <definedName name="IQ_PERCENT_CHANGE_EST_REV_WEEK" hidden="1">"c1791"</definedName>
    <definedName name="IQ_PERCENT_CHANGE_EST_REV_WEEK_CIQ" hidden="1">"c3736"</definedName>
    <definedName name="IQ_PERCENT_CHANGE_EST_REV_WEEK_REUT" hidden="1">"c3905"</definedName>
    <definedName name="IQ_PERCENT_INSURED_FDIC" hidden="1">"c6374"</definedName>
    <definedName name="IQ_PERFORMANCE_LOC_FOREIGN_GUARANTEES_FFIEC" hidden="1">"c13251"</definedName>
    <definedName name="IQ_PERIODDATE" hidden="1">"c1414"</definedName>
    <definedName name="IQ_PERIODDATE_AP" hidden="1">"c11745"</definedName>
    <definedName name="IQ_PERIODDATE_BS" hidden="1">"c1032"</definedName>
    <definedName name="IQ_PERIODDATE_CF" hidden="1">"c1033"</definedName>
    <definedName name="IQ_PERIODDATE_FDIC" hidden="1">"c13646"</definedName>
    <definedName name="IQ_PERIODDATE_FFIEC" hidden="1">"c13645"</definedName>
    <definedName name="IQ_PERIODDATE_IS" hidden="1">"c1034"</definedName>
    <definedName name="IQ_PERIODLENGTH_AP" hidden="1">"c11746"</definedName>
    <definedName name="IQ_PERIODLENGTH_CF" hidden="1">"c1502"</definedName>
    <definedName name="IQ_PERIODLENGTH_IS" hidden="1">"c1503"</definedName>
    <definedName name="IQ_PERSONAL_CONSUMER_SPENDING_DURABLE" hidden="1">"c6942"</definedName>
    <definedName name="IQ_PERSONAL_CONSUMER_SPENDING_DURABLE_APR" hidden="1">"c7602"</definedName>
    <definedName name="IQ_PERSONAL_CONSUMER_SPENDING_DURABLE_APR_FC" hidden="1">"c8482"</definedName>
    <definedName name="IQ_PERSONAL_CONSUMER_SPENDING_DURABLE_FC" hidden="1">"c7822"</definedName>
    <definedName name="IQ_PERSONAL_CONSUMER_SPENDING_DURABLE_POP" hidden="1">"c7162"</definedName>
    <definedName name="IQ_PERSONAL_CONSUMER_SPENDING_DURABLE_POP_FC" hidden="1">"c8042"</definedName>
    <definedName name="IQ_PERSONAL_CONSUMER_SPENDING_DURABLE_YOY" hidden="1">"c7382"</definedName>
    <definedName name="IQ_PERSONAL_CONSUMER_SPENDING_DURABLE_YOY_FC" hidden="1">"c8262"</definedName>
    <definedName name="IQ_PERSONAL_CONSUMER_SPENDING_NONDURABLE" hidden="1">"c6940"</definedName>
    <definedName name="IQ_PERSONAL_CONSUMER_SPENDING_NONDURABLE_APR" hidden="1">"c7600"</definedName>
    <definedName name="IQ_PERSONAL_CONSUMER_SPENDING_NONDURABLE_APR_FC" hidden="1">"c8480"</definedName>
    <definedName name="IQ_PERSONAL_CONSUMER_SPENDING_NONDURABLE_FC" hidden="1">"c7820"</definedName>
    <definedName name="IQ_PERSONAL_CONSUMER_SPENDING_NONDURABLE_POP" hidden="1">"c7160"</definedName>
    <definedName name="IQ_PERSONAL_CONSUMER_SPENDING_NONDURABLE_POP_FC" hidden="1">"c8040"</definedName>
    <definedName name="IQ_PERSONAL_CONSUMER_SPENDING_NONDURABLE_YOY" hidden="1">"c7380"</definedName>
    <definedName name="IQ_PERSONAL_CONSUMER_SPENDING_NONDURABLE_YOY_FC" hidden="1">"c8260"</definedName>
    <definedName name="IQ_PERSONAL_CONSUMER_SPENDING_REAL" hidden="1">"c6994"</definedName>
    <definedName name="IQ_PERSONAL_CONSUMER_SPENDING_REAL_APR" hidden="1">"c7654"</definedName>
    <definedName name="IQ_PERSONAL_CONSUMER_SPENDING_REAL_APR_FC" hidden="1">"c8534"</definedName>
    <definedName name="IQ_PERSONAL_CONSUMER_SPENDING_REAL_FC" hidden="1">"c7874"</definedName>
    <definedName name="IQ_PERSONAL_CONSUMER_SPENDING_REAL_POP" hidden="1">"c7214"</definedName>
    <definedName name="IQ_PERSONAL_CONSUMER_SPENDING_REAL_POP_FC" hidden="1">"c8094"</definedName>
    <definedName name="IQ_PERSONAL_CONSUMER_SPENDING_REAL_YOY" hidden="1">"c7434"</definedName>
    <definedName name="IQ_PERSONAL_CONSUMER_SPENDING_REAL_YOY_FC" hidden="1">"c8314"</definedName>
    <definedName name="IQ_PERSONAL_CONSUMER_SPENDING_SERVICES" hidden="1">"c6941"</definedName>
    <definedName name="IQ_PERSONAL_CONSUMER_SPENDING_SERVICES_APR" hidden="1">"c7601"</definedName>
    <definedName name="IQ_PERSONAL_CONSUMER_SPENDING_SERVICES_APR_FC" hidden="1">"c8481"</definedName>
    <definedName name="IQ_PERSONAL_CONSUMER_SPENDING_SERVICES_FC" hidden="1">"c7821"</definedName>
    <definedName name="IQ_PERSONAL_CONSUMER_SPENDING_SERVICES_POP" hidden="1">"c7161"</definedName>
    <definedName name="IQ_PERSONAL_CONSUMER_SPENDING_SERVICES_POP_FC" hidden="1">"c8041"</definedName>
    <definedName name="IQ_PERSONAL_CONSUMER_SPENDING_SERVICES_YOY" hidden="1">"c7381"</definedName>
    <definedName name="IQ_PERSONAL_CONSUMER_SPENDING_SERVICES_YOY_FC" hidden="1">"c8261"</definedName>
    <definedName name="IQ_PERSONAL_INCOME" hidden="1">"c6943"</definedName>
    <definedName name="IQ_PERSONAL_INCOME_APR" hidden="1">"c7603"</definedName>
    <definedName name="IQ_PERSONAL_INCOME_APR_FC" hidden="1">"c8483"</definedName>
    <definedName name="IQ_PERSONAL_INCOME_FC" hidden="1">"c7823"</definedName>
    <definedName name="IQ_PERSONAL_INCOME_POP" hidden="1">"c7163"</definedName>
    <definedName name="IQ_PERSONAL_INCOME_POP_FC" hidden="1">"c8043"</definedName>
    <definedName name="IQ_PERSONAL_INCOME_SAAR" hidden="1">"c6944"</definedName>
    <definedName name="IQ_PERSONAL_INCOME_SAAR_APR" hidden="1">"c7604"</definedName>
    <definedName name="IQ_PERSONAL_INCOME_SAAR_APR_FC" hidden="1">"c8484"</definedName>
    <definedName name="IQ_PERSONAL_INCOME_SAAR_FC" hidden="1">"c7824"</definedName>
    <definedName name="IQ_PERSONAL_INCOME_SAAR_POP" hidden="1">"c7164"</definedName>
    <definedName name="IQ_PERSONAL_INCOME_SAAR_POP_FC" hidden="1">"c8044"</definedName>
    <definedName name="IQ_PERSONAL_INCOME_SAAR_YOY" hidden="1">"c7384"</definedName>
    <definedName name="IQ_PERSONAL_INCOME_SAAR_YOY_FC" hidden="1">"c8264"</definedName>
    <definedName name="IQ_PERSONAL_INCOME_USD_APR_FC" hidden="1">"c11885"</definedName>
    <definedName name="IQ_PERSONAL_INCOME_USD_FC" hidden="1">"c11882"</definedName>
    <definedName name="IQ_PERSONAL_INCOME_USD_POP_FC" hidden="1">"c11883"</definedName>
    <definedName name="IQ_PERSONAL_INCOME_USD_YOY_FC" hidden="1">"c11884"</definedName>
    <definedName name="IQ_PERSONAL_INCOME_YOY" hidden="1">"c7383"</definedName>
    <definedName name="IQ_PERSONAL_INCOME_YOY_FC" hidden="1">"c8263"</definedName>
    <definedName name="IQ_PERSONNEL_EXP_AVG_ASSETS_FFIEC" hidden="1">"c13371"</definedName>
    <definedName name="IQ_PERSONNEL_EXP_OPERATING_INC_FFIEC" hidden="1">"c13379"</definedName>
    <definedName name="IQ_PERTYPE" hidden="1">"c1611"</definedName>
    <definedName name="IQ_PHARMBIO_NUMBER_LICENSED_PATENT_APP" hidden="1">"c10018"</definedName>
    <definedName name="IQ_PHARMBIO_NUMBER_LICENSED_PATENTS" hidden="1">"c10017"</definedName>
    <definedName name="IQ_PHARMBIO_NUMBER_PATENTS" hidden="1">"c10015"</definedName>
    <definedName name="IQ_PHARMBIO_NUMBER_PROD__APPROVED_DURING_PERIOD" hidden="1">"c12750"</definedName>
    <definedName name="IQ_PHARMBIO_NUMBER_PROD__CLINICAL_DEV" hidden="1">"c12745"</definedName>
    <definedName name="IQ_PHARMBIO_NUMBER_PROD__LAUNCHED_DURING_PERIOD" hidden="1">"c12751"</definedName>
    <definedName name="IQ_PHARMBIO_NUMBER_PROD__PHASE_I" hidden="1">"c12746"</definedName>
    <definedName name="IQ_PHARMBIO_NUMBER_PROD__PHASE_II" hidden="1">"c12747"</definedName>
    <definedName name="IQ_PHARMBIO_NUMBER_PROD__PHASE_III" hidden="1">"c12748"</definedName>
    <definedName name="IQ_PHARMBIO_NUMBER_PROD__PRE_CLINICAL_TRIALS" hidden="1">"c12744"</definedName>
    <definedName name="IQ_PHARMBIO_NUMBER_PROD__PRE_REGISTRATION" hidden="1">"c12749"</definedName>
    <definedName name="IQ_PHARMBIO_NUMBER_PROD__RESEARCH_DEV" hidden="1">"c12743"</definedName>
    <definedName name="IQ_PHARMBIO_NUMBER_PROD_APPROVED_DURING_PERIOD" hidden="1">"c10027"</definedName>
    <definedName name="IQ_PHARMBIO_NUMBER_PROD_CLINICAL_DEV" hidden="1">"c10022"</definedName>
    <definedName name="IQ_PHARMBIO_NUMBER_PROD_DISCOVERY_RESEARCH" hidden="1">"c10019"</definedName>
    <definedName name="IQ_PHARMBIO_NUMBER_PROD_LAUNCHED_DURING_PERIOD" hidden="1">"c10028"</definedName>
    <definedName name="IQ_PHARMBIO_NUMBER_PROD_PHASE_I" hidden="1">"c10023"</definedName>
    <definedName name="IQ_PHARMBIO_NUMBER_PROD_PHASE_II" hidden="1">"c10024"</definedName>
    <definedName name="IQ_PHARMBIO_NUMBER_PROD_PHASE_III" hidden="1">"c10025"</definedName>
    <definedName name="IQ_PHARMBIO_NUMBER_PROD_PRE_CLINICAL_TRIALS" hidden="1">"c10021"</definedName>
    <definedName name="IQ_PHARMBIO_NUMBER_PROD_PRE_REGISTRATION" hidden="1">"c10026"</definedName>
    <definedName name="IQ_PHARMBIO_NUMBER_PROD_RESEARCH_DEV" hidden="1">"c10020"</definedName>
    <definedName name="IQ_PHARMBIO_PATENT_APP" hidden="1">"c10016"</definedName>
    <definedName name="IQ_PHILADELPHIA_FED_DIFFUSION_INDEX" hidden="1">"c6945"</definedName>
    <definedName name="IQ_PHILADELPHIA_FED_DIFFUSION_INDEX_APR" hidden="1">"c7605"</definedName>
    <definedName name="IQ_PHILADELPHIA_FED_DIFFUSION_INDEX_APR_FC" hidden="1">"c8485"</definedName>
    <definedName name="IQ_PHILADELPHIA_FED_DIFFUSION_INDEX_FC" hidden="1">"c7825"</definedName>
    <definedName name="IQ_PHILADELPHIA_FED_DIFFUSION_INDEX_POP" hidden="1">"c7165"</definedName>
    <definedName name="IQ_PHILADELPHIA_FED_DIFFUSION_INDEX_POP_FC" hidden="1">"c8045"</definedName>
    <definedName name="IQ_PHILADELPHIA_FED_DIFFUSION_INDEX_YOY" hidden="1">"c7385"</definedName>
    <definedName name="IQ_PHILADELPHIA_FED_DIFFUSION_INDEX_YOY_FC" hidden="1">"c8265"</definedName>
    <definedName name="IQ_PLEDGED_SEC_INVEST_SECURITIES_FFIEC" hidden="1">"c13467"</definedName>
    <definedName name="IQ_PLEDGED_SECURITIES_FDIC" hidden="1">"c6401"</definedName>
    <definedName name="IQ_PLL" hidden="1">"c2114"</definedName>
    <definedName name="IQ_PMAC_DIFFUSION_INDEX" hidden="1">"c6946"</definedName>
    <definedName name="IQ_PMAC_DIFFUSION_INDEX_APR" hidden="1">"c7606"</definedName>
    <definedName name="IQ_PMAC_DIFFUSION_INDEX_APR_FC" hidden="1">"c8486"</definedName>
    <definedName name="IQ_PMAC_DIFFUSION_INDEX_FC" hidden="1">"c7826"</definedName>
    <definedName name="IQ_PMAC_DIFFUSION_INDEX_POP" hidden="1">"c7166"</definedName>
    <definedName name="IQ_PMAC_DIFFUSION_INDEX_POP_FC" hidden="1">"c8046"</definedName>
    <definedName name="IQ_PMAC_DIFFUSION_INDEX_YOY" hidden="1">"c7386"</definedName>
    <definedName name="IQ_PMAC_DIFFUSION_INDEX_YOY_FC" hidden="1">"c8266"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LICYHOLDER_BENEFITS_LH_FFIEC" hidden="1">"c13107"</definedName>
    <definedName name="IQ_POOL_AMT_ORIGINAL" hidden="1">"c8970"</definedName>
    <definedName name="IQ_POOL_NAME" hidden="1">"c8967"</definedName>
    <definedName name="IQ_POOL_NUMBER" hidden="1">"c8968"</definedName>
    <definedName name="IQ_POOL_TYPE" hidden="1">"c8969"</definedName>
    <definedName name="IQ_POSITIVE_FAIR_VALUE_DERIVATIVES_BENEFICIARY_FFIEC" hidden="1">"c13123"</definedName>
    <definedName name="IQ_POSITIVE_FAIR_VALUE_DERIVATIVES_GUARANTOR_FFIEC" hidden="1">"c13116"</definedName>
    <definedName name="IQ_POST_RETIRE_EXP" hidden="1">"c1039"</definedName>
    <definedName name="IQ_POSTAGE_FFIEC" hidden="1">"c13051"</definedName>
    <definedName name="IQ_POSTPAID_CHURN" hidden="1">"c2121"</definedName>
    <definedName name="IQ_POSTPAID_SUBS" hidden="1">"c2118"</definedName>
    <definedName name="IQ_POTENTIAL_UPSIDE" hidden="1">"c1855"</definedName>
    <definedName name="IQ_POTENTIAL_UPSIDE_CIQ" hidden="1">"c3799"</definedName>
    <definedName name="IQ_POTENTIAL_UPSIDE_REUT" hidden="1">"c3968"</definedName>
    <definedName name="IQ_PP_ATTRIB_ORE_RESERVES_ALUM" hidden="1">"c9218"</definedName>
    <definedName name="IQ_PP_ATTRIB_ORE_RESERVES_COP" hidden="1">"c9162"</definedName>
    <definedName name="IQ_PP_ATTRIB_ORE_RESERVES_DIAM" hidden="1">"c9642"</definedName>
    <definedName name="IQ_PP_ATTRIB_ORE_RESERVES_GOLD" hidden="1">"c9003"</definedName>
    <definedName name="IQ_PP_ATTRIB_ORE_RESERVES_IRON" hidden="1">"c9377"</definedName>
    <definedName name="IQ_PP_ATTRIB_ORE_RESERVES_LEAD" hidden="1">"c9430"</definedName>
    <definedName name="IQ_PP_ATTRIB_ORE_RESERVES_MANG" hidden="1">"c9483"</definedName>
    <definedName name="IQ_PP_ATTRIB_ORE_RESERVES_MOLYB" hidden="1">"c9695"</definedName>
    <definedName name="IQ_PP_ATTRIB_ORE_RESERVES_NICK" hidden="1">"c9271"</definedName>
    <definedName name="IQ_PP_ATTRIB_ORE_RESERVES_PLAT" hidden="1">"c9109"</definedName>
    <definedName name="IQ_PP_ATTRIB_ORE_RESERVES_SILVER" hidden="1">"c9056"</definedName>
    <definedName name="IQ_PP_ATTRIB_ORE_RESERVES_TITAN" hidden="1">"c9536"</definedName>
    <definedName name="IQ_PP_ATTRIB_ORE_RESERVES_URAN" hidden="1">"c9589"</definedName>
    <definedName name="IQ_PP_ATTRIB_ORE_RESERVES_ZINC" hidden="1">"c9324"</definedName>
    <definedName name="IQ_PP_ORE_RESERVES_ALUM" hidden="1">"c9211"</definedName>
    <definedName name="IQ_PP_ORE_RESERVES_COP" hidden="1">"c9155"</definedName>
    <definedName name="IQ_PP_ORE_RESERVES_DIAM" hidden="1">"c9635"</definedName>
    <definedName name="IQ_PP_ORE_RESERVES_GOLD" hidden="1">"c8996"</definedName>
    <definedName name="IQ_PP_ORE_RESERVES_IRON" hidden="1">"c9370"</definedName>
    <definedName name="IQ_PP_ORE_RESERVES_LEAD" hidden="1">"c9423"</definedName>
    <definedName name="IQ_PP_ORE_RESERVES_MANG" hidden="1">"c9476"</definedName>
    <definedName name="IQ_PP_ORE_RESERVES_MOLYB" hidden="1">"c9688"</definedName>
    <definedName name="IQ_PP_ORE_RESERVES_NICK" hidden="1">"c9264"</definedName>
    <definedName name="IQ_PP_ORE_RESERVES_PLAT" hidden="1">"c9102"</definedName>
    <definedName name="IQ_PP_ORE_RESERVES_SILVER" hidden="1">"c9049"</definedName>
    <definedName name="IQ_PP_ORE_RESERVES_TITAN" hidden="1">"c9529"</definedName>
    <definedName name="IQ_PP_ORE_RESERVES_URAN" hidden="1">"c9582"</definedName>
    <definedName name="IQ_PP_ORE_RESERVES_ZINC" hidden="1">"c9317"</definedName>
    <definedName name="IQ_PP_RECOV_ATTRIB_RESERVES_ALUM" hidden="1">"c9221"</definedName>
    <definedName name="IQ_PP_RECOV_ATTRIB_RESERVES_COAL" hidden="1">"c9805"</definedName>
    <definedName name="IQ_PP_RECOV_ATTRIB_RESERVES_COP" hidden="1">"c9165"</definedName>
    <definedName name="IQ_PP_RECOV_ATTRIB_RESERVES_DIAM" hidden="1">"c9645"</definedName>
    <definedName name="IQ_PP_RECOV_ATTRIB_RESERVES_GOLD" hidden="1">"c9006"</definedName>
    <definedName name="IQ_PP_RECOV_ATTRIB_RESERVES_IRON" hidden="1">"c9380"</definedName>
    <definedName name="IQ_PP_RECOV_ATTRIB_RESERVES_LEAD" hidden="1">"c9433"</definedName>
    <definedName name="IQ_PP_RECOV_ATTRIB_RESERVES_MANG" hidden="1">"c9486"</definedName>
    <definedName name="IQ_PP_RECOV_ATTRIB_RESERVES_MET_COAL" hidden="1">"c9745"</definedName>
    <definedName name="IQ_PP_RECOV_ATTRIB_RESERVES_MOLYB" hidden="1">"c9698"</definedName>
    <definedName name="IQ_PP_RECOV_ATTRIB_RESERVES_NICK" hidden="1">"c9274"</definedName>
    <definedName name="IQ_PP_RECOV_ATTRIB_RESERVES_PLAT" hidden="1">"c9112"</definedName>
    <definedName name="IQ_PP_RECOV_ATTRIB_RESERVES_SILVER" hidden="1">"c9059"</definedName>
    <definedName name="IQ_PP_RECOV_ATTRIB_RESERVES_STEAM" hidden="1">"c9775"</definedName>
    <definedName name="IQ_PP_RECOV_ATTRIB_RESERVES_TITAN" hidden="1">"c9539"</definedName>
    <definedName name="IQ_PP_RECOV_ATTRIB_RESERVES_URAN" hidden="1">"c9592"</definedName>
    <definedName name="IQ_PP_RECOV_ATTRIB_RESERVES_ZINC" hidden="1">"c9327"</definedName>
    <definedName name="IQ_PP_RECOV_RESERVES_ALUM" hidden="1">"c9215"</definedName>
    <definedName name="IQ_PP_RECOV_RESERVES_COAL" hidden="1">"c9802"</definedName>
    <definedName name="IQ_PP_RECOV_RESERVES_COP" hidden="1">"c9159"</definedName>
    <definedName name="IQ_PP_RECOV_RESERVES_DIAM" hidden="1">"c9639"</definedName>
    <definedName name="IQ_PP_RECOV_RESERVES_GOLD" hidden="1">"c9000"</definedName>
    <definedName name="IQ_PP_RECOV_RESERVES_IRON" hidden="1">"c9374"</definedName>
    <definedName name="IQ_PP_RECOV_RESERVES_LEAD" hidden="1">"c9427"</definedName>
    <definedName name="IQ_PP_RECOV_RESERVES_MANG" hidden="1">"c9480"</definedName>
    <definedName name="IQ_PP_RECOV_RESERVES_MET_COAL" hidden="1">"c9742"</definedName>
    <definedName name="IQ_PP_RECOV_RESERVES_MOLYB" hidden="1">"c9692"</definedName>
    <definedName name="IQ_PP_RECOV_RESERVES_NICK" hidden="1">"c9268"</definedName>
    <definedName name="IQ_PP_RECOV_RESERVES_PLAT" hidden="1">"c9106"</definedName>
    <definedName name="IQ_PP_RECOV_RESERVES_SILVER" hidden="1">"c9053"</definedName>
    <definedName name="IQ_PP_RECOV_RESERVES_STEAM" hidden="1">"c9772"</definedName>
    <definedName name="IQ_PP_RECOV_RESERVES_TITAN" hidden="1">"c9533"</definedName>
    <definedName name="IQ_PP_RECOV_RESERVES_URAN" hidden="1">"c9586"</definedName>
    <definedName name="IQ_PP_RECOV_RESERVES_ZINC" hidden="1">"c9321"</definedName>
    <definedName name="IQ_PP_RESERVES_CALORIFIC_VALUE_COAL" hidden="1">"c9799"</definedName>
    <definedName name="IQ_PP_RESERVES_CALORIFIC_VALUE_MET_COAL" hidden="1">"c9739"</definedName>
    <definedName name="IQ_PP_RESERVES_CALORIFIC_VALUE_STEAM" hidden="1">"c9769"</definedName>
    <definedName name="IQ_PP_RESERVES_GRADE_ALUM" hidden="1">"c9212"</definedName>
    <definedName name="IQ_PP_RESERVES_GRADE_COP" hidden="1">"c9156"</definedName>
    <definedName name="IQ_PP_RESERVES_GRADE_DIAM" hidden="1">"c9636"</definedName>
    <definedName name="IQ_PP_RESERVES_GRADE_GOLD" hidden="1">"c8997"</definedName>
    <definedName name="IQ_PP_RESERVES_GRADE_IRON" hidden="1">"c9371"</definedName>
    <definedName name="IQ_PP_RESERVES_GRADE_LEAD" hidden="1">"c9424"</definedName>
    <definedName name="IQ_PP_RESERVES_GRADE_MANG" hidden="1">"c9477"</definedName>
    <definedName name="IQ_PP_RESERVES_GRADE_MOLYB" hidden="1">"c9689"</definedName>
    <definedName name="IQ_PP_RESERVES_GRADE_NICK" hidden="1">"c9265"</definedName>
    <definedName name="IQ_PP_RESERVES_GRADE_PLAT" hidden="1">"c9103"</definedName>
    <definedName name="IQ_PP_RESERVES_GRADE_SILVER" hidden="1">"c9050"</definedName>
    <definedName name="IQ_PP_RESERVES_GRADE_TITAN" hidden="1">"c9530"</definedName>
    <definedName name="IQ_PP_RESERVES_GRADE_URAN" hidden="1">"c9583"</definedName>
    <definedName name="IQ_PP_RESERVES_GRADE_ZINC" hidden="1">"c9318"</definedName>
    <definedName name="IQ_PPI" hidden="1">"c6810"</definedName>
    <definedName name="IQ_PPI_APR" hidden="1">"c7470"</definedName>
    <definedName name="IQ_PPI_APR_FC" hidden="1">"c8350"</definedName>
    <definedName name="IQ_PPI_CORE" hidden="1">"c6840"</definedName>
    <definedName name="IQ_PPI_CORE_APR" hidden="1">"c7500"</definedName>
    <definedName name="IQ_PPI_CORE_APR_FC" hidden="1">"c8380"</definedName>
    <definedName name="IQ_PPI_CORE_FC" hidden="1">"c7720"</definedName>
    <definedName name="IQ_PPI_CORE_POP" hidden="1">"c7060"</definedName>
    <definedName name="IQ_PPI_CORE_POP_FC" hidden="1">"c7940"</definedName>
    <definedName name="IQ_PPI_CORE_YOY" hidden="1">"c7280"</definedName>
    <definedName name="IQ_PPI_CORE_YOY_FC" hidden="1">"c8160"</definedName>
    <definedName name="IQ_PPI_FC" hidden="1">"c7690"</definedName>
    <definedName name="IQ_PPI_POP" hidden="1">"c7030"</definedName>
    <definedName name="IQ_PPI_POP_FC" hidden="1">"c7910"</definedName>
    <definedName name="IQ_PPI_YOY" hidden="1">"c7250"</definedName>
    <definedName name="IQ_PPI_YOY_FC" hidden="1">"c8130"</definedName>
    <definedName name="IQ_PRE_OPEN_COST" hidden="1">"c1040"</definedName>
    <definedName name="IQ_PRE_TAX_ACT_OR_EST" hidden="1">"c2221"</definedName>
    <definedName name="IQ_PRE_TAX_ACT_OR_EST_REUT" hidden="1">"c5467"</definedName>
    <definedName name="IQ_PRE_TAX_INCOME_FDIC" hidden="1">"c6581"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" hidden="1">"c6261"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" hidden="1">"c6262"</definedName>
    <definedName name="IQ_PREF_OTHER_REIT" hidden="1">"c1058"</definedName>
    <definedName name="IQ_PREF_OTHER_UTI" hidden="1">"C6022"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" hidden="1">"c6263"</definedName>
    <definedName name="IQ_PREF_REP_REIT" hidden="1">"c1065"</definedName>
    <definedName name="IQ_PREF_REP_UTI" hidden="1">"c1066"</definedName>
    <definedName name="IQ_PREF_STOCK" hidden="1">"c1416"</definedName>
    <definedName name="IQ_PREF_STOCK_FFIEC" hidden="1">"c12875"</definedName>
    <definedName name="IQ_PREF_TOT" hidden="1">"c1415"</definedName>
    <definedName name="IQ_PREFERRED_FDIC" hidden="1">"c6349"</definedName>
    <definedName name="IQ_PREFERRED_LIST" hidden="1">"c13506"</definedName>
    <definedName name="IQ_PREMISES_EQUIPMENT_FDIC" hidden="1">"c6577"</definedName>
    <definedName name="IQ_PREMISES_FIXED_ASSETS_CAP_LEASES_FFIEC" hidden="1">"c12830"</definedName>
    <definedName name="IQ_PREMIUM_INSURANCE_CREDIT_FFIEC" hidden="1">"c13070"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EST_REUT" hidden="1">"c5354"</definedName>
    <definedName name="IQ_PRETAX_GW_INC_HIGH_EST" hidden="1">"c1704"</definedName>
    <definedName name="IQ_PRETAX_GW_INC_HIGH_EST_REUT" hidden="1">"c5356"</definedName>
    <definedName name="IQ_PRETAX_GW_INC_LOW_EST" hidden="1">"c1705"</definedName>
    <definedName name="IQ_PRETAX_GW_INC_LOW_EST_REUT" hidden="1">"c5357"</definedName>
    <definedName name="IQ_PRETAX_GW_INC_MEDIAN_EST" hidden="1">"c1703"</definedName>
    <definedName name="IQ_PRETAX_GW_INC_MEDIAN_EST_REUT" hidden="1">"c5355"</definedName>
    <definedName name="IQ_PRETAX_GW_INC_NUM_EST" hidden="1">"c1706"</definedName>
    <definedName name="IQ_PRETAX_GW_INC_NUM_EST_REUT" hidden="1">"c5358"</definedName>
    <definedName name="IQ_PRETAX_GW_INC_STDDEV_EST" hidden="1">"c1707"</definedName>
    <definedName name="IQ_PRETAX_GW_INC_STDDEV_EST_REUT" hidden="1">"c5359"</definedName>
    <definedName name="IQ_PRETAX_INC" hidden="1">"IQ_PRETAX_INC"</definedName>
    <definedName name="IQ_PRETAX_INC_10K" hidden="1">"IQ_PRETAX_INC_10K"</definedName>
    <definedName name="IQ_PRETAX_INC_10Q" hidden="1">"IQ_PRETAX_INC_10Q"</definedName>
    <definedName name="IQ_PRETAX_INC_10Q1" hidden="1">"IQ_PRETAX_INC_10Q1"</definedName>
    <definedName name="IQ_PRETAX_INC_EST" hidden="1">"c1695"</definedName>
    <definedName name="IQ_PRETAX_INC_EST_REUT" hidden="1">"c5347"</definedName>
    <definedName name="IQ_PRETAX_INC_HIGH_EST" hidden="1">"c1697"</definedName>
    <definedName name="IQ_PRETAX_INC_HIGH_EST_REUT" hidden="1">"c5349"</definedName>
    <definedName name="IQ_PRETAX_INC_LOW_EST" hidden="1">"c1698"</definedName>
    <definedName name="IQ_PRETAX_INC_LOW_EST_REUT" hidden="1">"c5350"</definedName>
    <definedName name="IQ_PRETAX_INC_MEDIAN_EST" hidden="1">"c1696"</definedName>
    <definedName name="IQ_PRETAX_INC_MEDIAN_EST_REUT" hidden="1">"c5348"</definedName>
    <definedName name="IQ_PRETAX_INC_NUM_EST" hidden="1">"c1699"</definedName>
    <definedName name="IQ_PRETAX_INC_NUM_EST_REUT" hidden="1">"c5351"</definedName>
    <definedName name="IQ_PRETAX_INC_STDDEV_EST" hidden="1">"c1700"</definedName>
    <definedName name="IQ_PRETAX_INC_STDDEV_EST_REUT" hidden="1">"c5352"</definedName>
    <definedName name="IQ_PRETAX_OPERATING_INC_AVG_ASSETS_FFIEC" hidden="1">"c13365"</definedName>
    <definedName name="IQ_PRETAX_REPORT_INC_EST" hidden="1">"c1709"</definedName>
    <definedName name="IQ_PRETAX_REPORT_INC_EST_REUT" hidden="1">"c5361"</definedName>
    <definedName name="IQ_PRETAX_REPORT_INC_HIGH_EST" hidden="1">"c1711"</definedName>
    <definedName name="IQ_PRETAX_REPORT_INC_HIGH_EST_REUT" hidden="1">"c5363"</definedName>
    <definedName name="IQ_PRETAX_REPORT_INC_LOW_EST" hidden="1">"c1712"</definedName>
    <definedName name="IQ_PRETAX_REPORT_INC_LOW_EST_REUT" hidden="1">"c5364"</definedName>
    <definedName name="IQ_PRETAX_REPORT_INC_MEDIAN_EST" hidden="1">"c1710"</definedName>
    <definedName name="IQ_PRETAX_REPORT_INC_MEDIAN_EST_REUT" hidden="1">"c5362"</definedName>
    <definedName name="IQ_PRETAX_REPORT_INC_NUM_EST" hidden="1">"c1713"</definedName>
    <definedName name="IQ_PRETAX_REPORT_INC_NUM_EST_REUT" hidden="1">"c5365"</definedName>
    <definedName name="IQ_PRETAX_REPORT_INC_STDDEV_EST" hidden="1">"c1714"</definedName>
    <definedName name="IQ_PRETAX_REPORT_INC_STDDEV_EST_REUT" hidden="1">"c5366"</definedName>
    <definedName name="IQ_PRETAX_RETURN_ASSETS_FDIC" hidden="1">"c6731"</definedName>
    <definedName name="IQ_PREV_MONTHLY_FACTOR" hidden="1">"c8973"</definedName>
    <definedName name="IQ_PREV_MONTHLY_FACTOR_DATE" hidden="1">"c8974"</definedName>
    <definedName name="IQ_PRICE_CFPS_FWD" hidden="1">"c2237"</definedName>
    <definedName name="IQ_PRICE_CFPS_FWD_REUT" hidden="1">"c4053"</definedName>
    <definedName name="IQ_PRICE_OVER_BVPS" hidden="1">"c1412"</definedName>
    <definedName name="IQ_PRICE_OVER_EPS_EST" hidden="1">"IQ_PRICE_OVER_EPS_EST"</definedName>
    <definedName name="IQ_PRICE_OVER_EPS_EST_1" hidden="1">"IQ_PRICE_OVER_EPS_EST_1"</definedName>
    <definedName name="IQ_PRICE_OVER_LTM_EPS" hidden="1">"c1413"</definedName>
    <definedName name="IQ_PRICE_PAID_FARM_INDEX" hidden="1">"c6948"</definedName>
    <definedName name="IQ_PRICE_PAID_FARM_INDEX_APR" hidden="1">"c7608"</definedName>
    <definedName name="IQ_PRICE_PAID_FARM_INDEX_APR_FC" hidden="1">"c8488"</definedName>
    <definedName name="IQ_PRICE_PAID_FARM_INDEX_FC" hidden="1">"c7828"</definedName>
    <definedName name="IQ_PRICE_PAID_FARM_INDEX_POP" hidden="1">"c7168"</definedName>
    <definedName name="IQ_PRICE_PAID_FARM_INDEX_POP_FC" hidden="1">"c8048"</definedName>
    <definedName name="IQ_PRICE_PAID_FARM_INDEX_YOY" hidden="1">"c7388"</definedName>
    <definedName name="IQ_PRICE_PAID_FARM_INDEX_YOY_FC" hidden="1">"c8268"</definedName>
    <definedName name="IQ_PRICE_TARGET" hidden="1">"c82"</definedName>
    <definedName name="IQ_PRICE_TARGET_BOTTOM_UP" hidden="1">"c5486"</definedName>
    <definedName name="IQ_PRICE_TARGET_BOTTOM_UP_CIQ" hidden="1">"c12023"</definedName>
    <definedName name="IQ_PRICE_TARGET_BOTTOM_UP_REUT" hidden="1">"c5494"</definedName>
    <definedName name="IQ_PRICE_TARGET_CIQ" hidden="1">"c3613"</definedName>
    <definedName name="IQ_PRICE_TARGET_REUT" hidden="1">"c3631"</definedName>
    <definedName name="IQ_PRICE_VOLATILITY_EST" hidden="1">"c4492"</definedName>
    <definedName name="IQ_PRICE_VOLATILITY_HIGH" hidden="1">"c4493"</definedName>
    <definedName name="IQ_PRICE_VOLATILITY_LOW" hidden="1">"c4494"</definedName>
    <definedName name="IQ_PRICE_VOLATILITY_MEDIAN" hidden="1">"c4495"</definedName>
    <definedName name="IQ_PRICE_VOLATILITY_NUM" hidden="1">"c4496"</definedName>
    <definedName name="IQ_PRICE_VOLATILITY_STDDEV" hidden="1">"c4497"</definedName>
    <definedName name="IQ_PRICEDATE" hidden="1">"c1069"</definedName>
    <definedName name="IQ_PRICEDATETIME" hidden="1">"IQ_PRICEDATETIME"</definedName>
    <definedName name="IQ_PRICING_DATE" hidden="1">"c1613"</definedName>
    <definedName name="IQ_PRIMARY_EPS_TYPE" hidden="1">"c4498"</definedName>
    <definedName name="IQ_PRIMARY_EPS_TYPE_REUT" hidden="1">"c5481"</definedName>
    <definedName name="IQ_PRIMARY_INDUSTRY" hidden="1">"c1070"</definedName>
    <definedName name="IQ_PRINCIPAL_AMT" hidden="1">"c2157"</definedName>
    <definedName name="IQ_PRIVATE_CONST_TOTAL_APR_FC_UNUSED" hidden="1">"c8559"</definedName>
    <definedName name="IQ_PRIVATE_CONST_TOTAL_APR_FC_UNUSED_UNUSED_UNUSED" hidden="1">"c8559"</definedName>
    <definedName name="IQ_PRIVATE_CONST_TOTAL_APR_UNUSED" hidden="1">"c7679"</definedName>
    <definedName name="IQ_PRIVATE_CONST_TOTAL_APR_UNUSED_UNUSED_UNUSED" hidden="1">"c7679"</definedName>
    <definedName name="IQ_PRIVATE_CONST_TOTAL_FC_UNUSED" hidden="1">"c7899"</definedName>
    <definedName name="IQ_PRIVATE_CONST_TOTAL_FC_UNUSED_UNUSED_UNUSED" hidden="1">"c7899"</definedName>
    <definedName name="IQ_PRIVATE_CONST_TOTAL_POP_FC_UNUSED" hidden="1">"c8119"</definedName>
    <definedName name="IQ_PRIVATE_CONST_TOTAL_POP_FC_UNUSED_UNUSED_UNUSED" hidden="1">"c8119"</definedName>
    <definedName name="IQ_PRIVATE_CONST_TOTAL_POP_UNUSED" hidden="1">"c7239"</definedName>
    <definedName name="IQ_PRIVATE_CONST_TOTAL_POP_UNUSED_UNUSED_UNUSED" hidden="1">"c7239"</definedName>
    <definedName name="IQ_PRIVATE_CONST_TOTAL_UNUSED" hidden="1">"c7019"</definedName>
    <definedName name="IQ_PRIVATE_CONST_TOTAL_UNUSED_UNUSED_UNUSED" hidden="1">"c7019"</definedName>
    <definedName name="IQ_PRIVATE_CONST_TOTAL_YOY_FC_UNUSED" hidden="1">"c8339"</definedName>
    <definedName name="IQ_PRIVATE_CONST_TOTAL_YOY_FC_UNUSED_UNUSED_UNUSED" hidden="1">"c8339"</definedName>
    <definedName name="IQ_PRIVATE_CONST_TOTAL_YOY_UNUSED" hidden="1">"c7459"</definedName>
    <definedName name="IQ_PRIVATE_CONST_TOTAL_YOY_UNUSED_UNUSED_UNUSED" hidden="1">"c7459"</definedName>
    <definedName name="IQ_PRIVATE_FIXED_INVEST_TOTAL" hidden="1">"c12006"</definedName>
    <definedName name="IQ_PRIVATE_FIXED_INVEST_TOTAL_APR" hidden="1">"c12009"</definedName>
    <definedName name="IQ_PRIVATE_FIXED_INVEST_TOTAL_POP" hidden="1">"c12007"</definedName>
    <definedName name="IQ_PRIVATE_FIXED_INVEST_TOTAL_YOY" hidden="1">"c12008"</definedName>
    <definedName name="IQ_PRIVATE_NONRES_CONST_IMPROV" hidden="1">"c6949"</definedName>
    <definedName name="IQ_PRIVATE_NONRES_CONST_IMPROV_APR" hidden="1">"c7609"</definedName>
    <definedName name="IQ_PRIVATE_NONRES_CONST_IMPROV_APR_FC" hidden="1">"c8489"</definedName>
    <definedName name="IQ_PRIVATE_NONRES_CONST_IMPROV_FC" hidden="1">"c7829"</definedName>
    <definedName name="IQ_PRIVATE_NONRES_CONST_IMPROV_POP" hidden="1">"c7169"</definedName>
    <definedName name="IQ_PRIVATE_NONRES_CONST_IMPROV_POP_FC" hidden="1">"c8049"</definedName>
    <definedName name="IQ_PRIVATE_NONRES_CONST_IMPROV_YOY" hidden="1">"c7389"</definedName>
    <definedName name="IQ_PRIVATE_NONRES_CONST_IMPROV_YOY_FC" hidden="1">"c8269"</definedName>
    <definedName name="IQ_PRIVATE_RES_CONST_IMPROV" hidden="1">"c6950"</definedName>
    <definedName name="IQ_PRIVATE_RES_CONST_IMPROV_APR" hidden="1">"c7610"</definedName>
    <definedName name="IQ_PRIVATE_RES_CONST_IMPROV_APR_FC" hidden="1">"c8490"</definedName>
    <definedName name="IQ_PRIVATE_RES_CONST_IMPROV_FC" hidden="1">"c7830"</definedName>
    <definedName name="IQ_PRIVATE_RES_CONST_IMPROV_POP" hidden="1">"c7170"</definedName>
    <definedName name="IQ_PRIVATE_RES_CONST_IMPROV_POP_FC" hidden="1">"c8050"</definedName>
    <definedName name="IQ_PRIVATE_RES_CONST_IMPROV_YOY" hidden="1">"c7390"</definedName>
    <definedName name="IQ_PRIVATE_RES_CONST_IMPROV_YOY_FC" hidden="1">"c8270"</definedName>
    <definedName name="IQ_PRIVATE_RES_CONST_REAL_APR_FC_UNUSED" hidden="1">"c8535"</definedName>
    <definedName name="IQ_PRIVATE_RES_CONST_REAL_APR_FC_UNUSED_UNUSED_UNUSED" hidden="1">"c8535"</definedName>
    <definedName name="IQ_PRIVATE_RES_CONST_REAL_APR_UNUSED" hidden="1">"c7655"</definedName>
    <definedName name="IQ_PRIVATE_RES_CONST_REAL_APR_UNUSED_UNUSED_UNUSED" hidden="1">"c7655"</definedName>
    <definedName name="IQ_PRIVATE_RES_CONST_REAL_FC_UNUSED" hidden="1">"c7875"</definedName>
    <definedName name="IQ_PRIVATE_RES_CONST_REAL_FC_UNUSED_UNUSED_UNUSED" hidden="1">"c7875"</definedName>
    <definedName name="IQ_PRIVATE_RES_CONST_REAL_POP_FC_UNUSED" hidden="1">"c8095"</definedName>
    <definedName name="IQ_PRIVATE_RES_CONST_REAL_POP_FC_UNUSED_UNUSED_UNUSED" hidden="1">"c8095"</definedName>
    <definedName name="IQ_PRIVATE_RES_CONST_REAL_POP_UNUSED" hidden="1">"c7215"</definedName>
    <definedName name="IQ_PRIVATE_RES_CONST_REAL_POP_UNUSED_UNUSED_UNUSED" hidden="1">"c7215"</definedName>
    <definedName name="IQ_PRIVATE_RES_CONST_REAL_UNUSED" hidden="1">"c6995"</definedName>
    <definedName name="IQ_PRIVATE_RES_CONST_REAL_UNUSED_UNUSED_UNUSED" hidden="1">"c6995"</definedName>
    <definedName name="IQ_PRIVATE_RES_CONST_REAL_YOY_FC_UNUSED" hidden="1">"c8315"</definedName>
    <definedName name="IQ_PRIVATE_RES_CONST_REAL_YOY_FC_UNUSED_UNUSED_UNUSED" hidden="1">"c8315"</definedName>
    <definedName name="IQ_PRIVATE_RES_CONST_REAL_YOY_UNUSED" hidden="1">"c7435"</definedName>
    <definedName name="IQ_PRIVATE_RES_CONST_REAL_YOY_UNUSED_UNUSED_UNUSED" hidden="1">"c7435"</definedName>
    <definedName name="IQ_PRIVATE_RES_FIXED_INVEST_REAL" hidden="1">"c11986"</definedName>
    <definedName name="IQ_PRIVATE_RES_FIXED_INVEST_REAL_APR" hidden="1">"c11989"</definedName>
    <definedName name="IQ_PRIVATE_RES_FIXED_INVEST_REAL_POP" hidden="1">"c11987"</definedName>
    <definedName name="IQ_PRIVATE_RES_FIXED_INVEST_REAL_YOY" hidden="1">"c11988"</definedName>
    <definedName name="IQ_PRIVATELY_ISSUED_MORTGAGE_BACKED_SECURITIES_FDIC" hidden="1">"c6407"</definedName>
    <definedName name="IQ_PRIVATELY_ISSUED_MORTGAGE_PASS_THROUGHS_FDIC" hidden="1">"c6405"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BABLE_ATTRIB_ORE_RESERVES_ALUM" hidden="1">"c9217"</definedName>
    <definedName name="IQ_PROBABLE_ATTRIB_ORE_RESERVES_COP" hidden="1">"c9161"</definedName>
    <definedName name="IQ_PROBABLE_ATTRIB_ORE_RESERVES_DIAM" hidden="1">"c9641"</definedName>
    <definedName name="IQ_PROBABLE_ATTRIB_ORE_RESERVES_GOLD" hidden="1">"c9002"</definedName>
    <definedName name="IQ_PROBABLE_ATTRIB_ORE_RESERVES_IRON" hidden="1">"c9376"</definedName>
    <definedName name="IQ_PROBABLE_ATTRIB_ORE_RESERVES_LEAD" hidden="1">"c9429"</definedName>
    <definedName name="IQ_PROBABLE_ATTRIB_ORE_RESERVES_MANG" hidden="1">"c9482"</definedName>
    <definedName name="IQ_PROBABLE_ATTRIB_ORE_RESERVES_MOLYB" hidden="1">"c9694"</definedName>
    <definedName name="IQ_PROBABLE_ATTRIB_ORE_RESERVES_NICK" hidden="1">"c9270"</definedName>
    <definedName name="IQ_PROBABLE_ATTRIB_ORE_RESERVES_PLAT" hidden="1">"c9108"</definedName>
    <definedName name="IQ_PROBABLE_ATTRIB_ORE_RESERVES_SILVER" hidden="1">"c9055"</definedName>
    <definedName name="IQ_PROBABLE_ATTRIB_ORE_RESERVES_TITAN" hidden="1">"c9535"</definedName>
    <definedName name="IQ_PROBABLE_ATTRIB_ORE_RESERVES_URAN" hidden="1">"c9588"</definedName>
    <definedName name="IQ_PROBABLE_ATTRIB_ORE_RESERVES_ZINC" hidden="1">"c9323"</definedName>
    <definedName name="IQ_PROBABLE_ORE_RESERVES_ALUM" hidden="1">"c9209"</definedName>
    <definedName name="IQ_PROBABLE_ORE_RESERVES_COP" hidden="1">"c9153"</definedName>
    <definedName name="IQ_PROBABLE_ORE_RESERVES_DIAM" hidden="1">"c9633"</definedName>
    <definedName name="IQ_PROBABLE_ORE_RESERVES_GOLD" hidden="1">"c8994"</definedName>
    <definedName name="IQ_PROBABLE_ORE_RESERVES_IRON" hidden="1">"c9368"</definedName>
    <definedName name="IQ_PROBABLE_ORE_RESERVES_LEAD" hidden="1">"c9421"</definedName>
    <definedName name="IQ_PROBABLE_ORE_RESERVES_MANG" hidden="1">"c9474"</definedName>
    <definedName name="IQ_PROBABLE_ORE_RESERVES_MOLYB" hidden="1">"c9686"</definedName>
    <definedName name="IQ_PROBABLE_ORE_RESERVES_NICK" hidden="1">"c9262"</definedName>
    <definedName name="IQ_PROBABLE_ORE_RESERVES_PLAT" hidden="1">"c9100"</definedName>
    <definedName name="IQ_PROBABLE_ORE_RESERVES_SILVER" hidden="1">"c9047"</definedName>
    <definedName name="IQ_PROBABLE_ORE_RESERVES_TITAN" hidden="1">"c9527"</definedName>
    <definedName name="IQ_PROBABLE_ORE_RESERVES_URAN" hidden="1">"c9580"</definedName>
    <definedName name="IQ_PROBABLE_ORE_RESERVES_ZINC" hidden="1">"c9315"</definedName>
    <definedName name="IQ_PROBABLE_RECOV_ATTRIB_RESERVES_ALUM" hidden="1">"c9220"</definedName>
    <definedName name="IQ_PROBABLE_RECOV_ATTRIB_RESERVES_COAL" hidden="1">"c9804"</definedName>
    <definedName name="IQ_PROBABLE_RECOV_ATTRIB_RESERVES_COP" hidden="1">"c9164"</definedName>
    <definedName name="IQ_PROBABLE_RECOV_ATTRIB_RESERVES_DIAM" hidden="1">"c9644"</definedName>
    <definedName name="IQ_PROBABLE_RECOV_ATTRIB_RESERVES_GOLD" hidden="1">"c9005"</definedName>
    <definedName name="IQ_PROBABLE_RECOV_ATTRIB_RESERVES_IRON" hidden="1">"c9379"</definedName>
    <definedName name="IQ_PROBABLE_RECOV_ATTRIB_RESERVES_LEAD" hidden="1">"c9432"</definedName>
    <definedName name="IQ_PROBABLE_RECOV_ATTRIB_RESERVES_MANG" hidden="1">"c9485"</definedName>
    <definedName name="IQ_PROBABLE_RECOV_ATTRIB_RESERVES_MET_COAL" hidden="1">"c9744"</definedName>
    <definedName name="IQ_PROBABLE_RECOV_ATTRIB_RESERVES_MOLYB" hidden="1">"c9697"</definedName>
    <definedName name="IQ_PROBABLE_RECOV_ATTRIB_RESERVES_NICK" hidden="1">"c9273"</definedName>
    <definedName name="IQ_PROBABLE_RECOV_ATTRIB_RESERVES_PLAT" hidden="1">"c9111"</definedName>
    <definedName name="IQ_PROBABLE_RECOV_ATTRIB_RESERVES_SILVER" hidden="1">"c9058"</definedName>
    <definedName name="IQ_PROBABLE_RECOV_ATTRIB_RESERVES_STEAM" hidden="1">"c9774"</definedName>
    <definedName name="IQ_PROBABLE_RECOV_ATTRIB_RESERVES_TITAN" hidden="1">"c9538"</definedName>
    <definedName name="IQ_PROBABLE_RECOV_ATTRIB_RESERVES_URAN" hidden="1">"c9591"</definedName>
    <definedName name="IQ_PROBABLE_RECOV_ATTRIB_RESERVES_ZINC" hidden="1">"c9326"</definedName>
    <definedName name="IQ_PROBABLE_RECOV_RESERVES_ALUM" hidden="1">"c9214"</definedName>
    <definedName name="IQ_PROBABLE_RECOV_RESERVES_COAL" hidden="1">"c9801"</definedName>
    <definedName name="IQ_PROBABLE_RECOV_RESERVES_COP" hidden="1">"c9158"</definedName>
    <definedName name="IQ_PROBABLE_RECOV_RESERVES_DIAM" hidden="1">"c9638"</definedName>
    <definedName name="IQ_PROBABLE_RECOV_RESERVES_GOLD" hidden="1">"c8999"</definedName>
    <definedName name="IQ_PROBABLE_RECOV_RESERVES_IRON" hidden="1">"c9373"</definedName>
    <definedName name="IQ_PROBABLE_RECOV_RESERVES_LEAD" hidden="1">"c9426"</definedName>
    <definedName name="IQ_PROBABLE_RECOV_RESERVES_MANG" hidden="1">"c9479"</definedName>
    <definedName name="IQ_PROBABLE_RECOV_RESERVES_MET_COAL" hidden="1">"c9741"</definedName>
    <definedName name="IQ_PROBABLE_RECOV_RESERVES_MOLYB" hidden="1">"c9691"</definedName>
    <definedName name="IQ_PROBABLE_RECOV_RESERVES_NICK" hidden="1">"c9267"</definedName>
    <definedName name="IQ_PROBABLE_RECOV_RESERVES_PLAT" hidden="1">"c9105"</definedName>
    <definedName name="IQ_PROBABLE_RECOV_RESERVES_SILVER" hidden="1">"c9052"</definedName>
    <definedName name="IQ_PROBABLE_RECOV_RESERVES_STEAM" hidden="1">"c9771"</definedName>
    <definedName name="IQ_PROBABLE_RECOV_RESERVES_TITAN" hidden="1">"c9532"</definedName>
    <definedName name="IQ_PROBABLE_RECOV_RESERVES_URAN" hidden="1">"c9585"</definedName>
    <definedName name="IQ_PROBABLE_RECOV_RESERVES_ZINC" hidden="1">"c9320"</definedName>
    <definedName name="IQ_PROBABLE_RESERVES_CALORIFIC_VALUE_COAL" hidden="1">"c9798"</definedName>
    <definedName name="IQ_PROBABLE_RESERVES_CALORIFIC_VALUE_MET_COAL" hidden="1">"c9738"</definedName>
    <definedName name="IQ_PROBABLE_RESERVES_CALORIFIC_VALUE_STEAM" hidden="1">"c9768"</definedName>
    <definedName name="IQ_PROBABLE_RESERVES_GRADE_ALUM" hidden="1">"c9210"</definedName>
    <definedName name="IQ_PROBABLE_RESERVES_GRADE_COP" hidden="1">"c9154"</definedName>
    <definedName name="IQ_PROBABLE_RESERVES_GRADE_DIAM" hidden="1">"c9634"</definedName>
    <definedName name="IQ_PROBABLE_RESERVES_GRADE_GOLD" hidden="1">"c8995"</definedName>
    <definedName name="IQ_PROBABLE_RESERVES_GRADE_IRON" hidden="1">"c9369"</definedName>
    <definedName name="IQ_PROBABLE_RESERVES_GRADE_LEAD" hidden="1">"c9422"</definedName>
    <definedName name="IQ_PROBABLE_RESERVES_GRADE_MANG" hidden="1">"c9475"</definedName>
    <definedName name="IQ_PROBABLE_RESERVES_GRADE_MOLYB" hidden="1">"c9687"</definedName>
    <definedName name="IQ_PROBABLE_RESERVES_GRADE_NICK" hidden="1">"c9263"</definedName>
    <definedName name="IQ_PROBABLE_RESERVES_GRADE_PLAT" hidden="1">"c9101"</definedName>
    <definedName name="IQ_PROBABLE_RESERVES_GRADE_SILVER" hidden="1">"c9048"</definedName>
    <definedName name="IQ_PROBABLE_RESERVES_GRADE_TITAN" hidden="1">"c9528"</definedName>
    <definedName name="IQ_PROBABLE_RESERVES_GRADE_URAN" hidden="1">"c9581"</definedName>
    <definedName name="IQ_PROBABLE_RESERVES_GRADE_ZINC" hidden="1">"c9316"</definedName>
    <definedName name="IQ_PRODUCTION_COST_ALUM" hidden="1">"c9253"</definedName>
    <definedName name="IQ_PRODUCTION_COST_COAL" hidden="1">"c9826"</definedName>
    <definedName name="IQ_PRODUCTION_COST_COP" hidden="1">"c9200"</definedName>
    <definedName name="IQ_PRODUCTION_COST_DIAM" hidden="1">"c9677"</definedName>
    <definedName name="IQ_PRODUCTION_COST_GOLD" hidden="1">"c9038"</definedName>
    <definedName name="IQ_PRODUCTION_COST_IRON" hidden="1">"c9412"</definedName>
    <definedName name="IQ_PRODUCTION_COST_LEAD" hidden="1">"c9465"</definedName>
    <definedName name="IQ_PRODUCTION_COST_MANG" hidden="1">"c9518"</definedName>
    <definedName name="IQ_PRODUCTION_COST_MET_COAL" hidden="1">"c9763"</definedName>
    <definedName name="IQ_PRODUCTION_COST_MOLYB" hidden="1">"c9730"</definedName>
    <definedName name="IQ_PRODUCTION_COST_NICK" hidden="1">"c9306"</definedName>
    <definedName name="IQ_PRODUCTION_COST_PLAT" hidden="1">"c9144"</definedName>
    <definedName name="IQ_PRODUCTION_COST_SILVER" hidden="1">"c9091"</definedName>
    <definedName name="IQ_PRODUCTION_COST_STEAM" hidden="1">"c9793"</definedName>
    <definedName name="IQ_PRODUCTION_COST_TITAN" hidden="1">"c9571"</definedName>
    <definedName name="IQ_PRODUCTION_COST_URAN" hidden="1">"c9624"</definedName>
    <definedName name="IQ_PRODUCTION_COST_ZINC" hidden="1">"c9359"</definedName>
    <definedName name="IQ_PROFESSIONAL" hidden="1">"c1071"</definedName>
    <definedName name="IQ_PROFESSIONAL_TITLE" hidden="1">"c1072"</definedName>
    <definedName name="IQ_PROFIT_AFTER_COST_CAPITAL_NEW_BUSINESS" hidden="1">"c9969"</definedName>
    <definedName name="IQ_PROFIT_BEFORE_COST_CAPITAL_NEW_BUSINESS" hidden="1">"c9967"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ED_ATTRIB_ORE_RESERVES_ALUM" hidden="1">"c9216"</definedName>
    <definedName name="IQ_PROVED_ATTRIB_ORE_RESERVES_COP" hidden="1">"c9160"</definedName>
    <definedName name="IQ_PROVED_ATTRIB_ORE_RESERVES_DIAM" hidden="1">"c9640"</definedName>
    <definedName name="IQ_PROVED_ATTRIB_ORE_RESERVES_GOLD" hidden="1">"c9001"</definedName>
    <definedName name="IQ_PROVED_ATTRIB_ORE_RESERVES_IRON" hidden="1">"c9375"</definedName>
    <definedName name="IQ_PROVED_ATTRIB_ORE_RESERVES_LEAD" hidden="1">"c9428"</definedName>
    <definedName name="IQ_PROVED_ATTRIB_ORE_RESERVES_MANG" hidden="1">"c9481"</definedName>
    <definedName name="IQ_PROVED_ATTRIB_ORE_RESERVES_MOLYB" hidden="1">"c9693"</definedName>
    <definedName name="IQ_PROVED_ATTRIB_ORE_RESERVES_NICK" hidden="1">"c9269"</definedName>
    <definedName name="IQ_PROVED_ATTRIB_ORE_RESERVES_PLAT" hidden="1">"c9107"</definedName>
    <definedName name="IQ_PROVED_ATTRIB_ORE_RESERVES_SILVER" hidden="1">"c9054"</definedName>
    <definedName name="IQ_PROVED_ATTRIB_ORE_RESERVES_TITAN" hidden="1">"c9534"</definedName>
    <definedName name="IQ_PROVED_ATTRIB_ORE_RESERVES_URAN" hidden="1">"c9587"</definedName>
    <definedName name="IQ_PROVED_ATTRIB_ORE_RESERVES_ZINC" hidden="1">"c9322"</definedName>
    <definedName name="IQ_PROVED_ORE_RESERVES_ALUM" hidden="1">"c9207"</definedName>
    <definedName name="IQ_PROVED_ORE_RESERVES_COP" hidden="1">"c9151"</definedName>
    <definedName name="IQ_PROVED_ORE_RESERVES_DIAM" hidden="1">"c9631"</definedName>
    <definedName name="IQ_PROVED_ORE_RESERVES_GOLD" hidden="1">"c8992"</definedName>
    <definedName name="IQ_PROVED_ORE_RESERVES_IRON" hidden="1">"c9366"</definedName>
    <definedName name="IQ_PROVED_ORE_RESERVES_LEAD" hidden="1">"c9419"</definedName>
    <definedName name="IQ_PROVED_ORE_RESERVES_MANG" hidden="1">"c9472"</definedName>
    <definedName name="IQ_PROVED_ORE_RESERVES_MOLYB" hidden="1">"c9684"</definedName>
    <definedName name="IQ_PROVED_ORE_RESERVES_NICK" hidden="1">"c9260"</definedName>
    <definedName name="IQ_PROVED_ORE_RESERVES_PLAT" hidden="1">"c9098"</definedName>
    <definedName name="IQ_PROVED_ORE_RESERVES_SILVER" hidden="1">"c9045"</definedName>
    <definedName name="IQ_PROVED_ORE_RESERVES_TITAN" hidden="1">"c9525"</definedName>
    <definedName name="IQ_PROVED_ORE_RESERVES_URAN" hidden="1">"c9578"</definedName>
    <definedName name="IQ_PROVED_ORE_RESERVES_ZINC" hidden="1">"c9313"</definedName>
    <definedName name="IQ_PROVED_RECOV_ATTRIB_RESERVES_ALUM" hidden="1">"c9219"</definedName>
    <definedName name="IQ_PROVED_RECOV_ATTRIB_RESERVES_COAL" hidden="1">"c9803"</definedName>
    <definedName name="IQ_PROVED_RECOV_ATTRIB_RESERVES_COP" hidden="1">"c9163"</definedName>
    <definedName name="IQ_PROVED_RECOV_ATTRIB_RESERVES_DIAM" hidden="1">"c9643"</definedName>
    <definedName name="IQ_PROVED_RECOV_ATTRIB_RESERVES_GOLD" hidden="1">"c9004"</definedName>
    <definedName name="IQ_PROVED_RECOV_ATTRIB_RESERVES_IRON" hidden="1">"c9378"</definedName>
    <definedName name="IQ_PROVED_RECOV_ATTRIB_RESERVES_LEAD" hidden="1">"c9431"</definedName>
    <definedName name="IQ_PROVED_RECOV_ATTRIB_RESERVES_MANG" hidden="1">"c9484"</definedName>
    <definedName name="IQ_PROVED_RECOV_ATTRIB_RESERVES_MET_COAL" hidden="1">"c9743"</definedName>
    <definedName name="IQ_PROVED_RECOV_ATTRIB_RESERVES_MOLYB" hidden="1">"c9696"</definedName>
    <definedName name="IQ_PROVED_RECOV_ATTRIB_RESERVES_NICK" hidden="1">"c9272"</definedName>
    <definedName name="IQ_PROVED_RECOV_ATTRIB_RESERVES_PLAT" hidden="1">"c9110"</definedName>
    <definedName name="IQ_PROVED_RECOV_ATTRIB_RESERVES_SILVER" hidden="1">"c9057"</definedName>
    <definedName name="IQ_PROVED_RECOV_ATTRIB_RESERVES_STEAM" hidden="1">"c9773"</definedName>
    <definedName name="IQ_PROVED_RECOV_ATTRIB_RESERVES_TITAN" hidden="1">"c9537"</definedName>
    <definedName name="IQ_PROVED_RECOV_ATTRIB_RESERVES_URAN" hidden="1">"c9590"</definedName>
    <definedName name="IQ_PROVED_RECOV_ATTRIB_RESERVES_ZINC" hidden="1">"c9325"</definedName>
    <definedName name="IQ_PROVED_RECOV_RESERVES_ALUM" hidden="1">"c9213"</definedName>
    <definedName name="IQ_PROVED_RECOV_RESERVES_COAL" hidden="1">"c9800"</definedName>
    <definedName name="IQ_PROVED_RECOV_RESERVES_COP" hidden="1">"c9157"</definedName>
    <definedName name="IQ_PROVED_RECOV_RESERVES_DIAM" hidden="1">"c9637"</definedName>
    <definedName name="IQ_PROVED_RECOV_RESERVES_GOLD" hidden="1">"c8998"</definedName>
    <definedName name="IQ_PROVED_RECOV_RESERVES_IRON" hidden="1">"c9372"</definedName>
    <definedName name="IQ_PROVED_RECOV_RESERVES_LEAD" hidden="1">"c9425"</definedName>
    <definedName name="IQ_PROVED_RECOV_RESERVES_MANG" hidden="1">"c9478"</definedName>
    <definedName name="IQ_PROVED_RECOV_RESERVES_MET_COAL" hidden="1">"c9740"</definedName>
    <definedName name="IQ_PROVED_RECOV_RESERVES_MOLYB" hidden="1">"c9690"</definedName>
    <definedName name="IQ_PROVED_RECOV_RESERVES_NICK" hidden="1">"c9266"</definedName>
    <definedName name="IQ_PROVED_RECOV_RESERVES_PLAT" hidden="1">"c9104"</definedName>
    <definedName name="IQ_PROVED_RECOV_RESERVES_SILVER" hidden="1">"c9051"</definedName>
    <definedName name="IQ_PROVED_RECOV_RESERVES_STEAM" hidden="1">"c9770"</definedName>
    <definedName name="IQ_PROVED_RECOV_RESERVES_TITAN" hidden="1">"c9531"</definedName>
    <definedName name="IQ_PROVED_RECOV_RESERVES_URAN" hidden="1">"c9584"</definedName>
    <definedName name="IQ_PROVED_RECOV_RESERVES_ZINC" hidden="1">"c9319"</definedName>
    <definedName name="IQ_PROVED_RESERVES_CALORIFIC_VALUE_COAL" hidden="1">"c9797"</definedName>
    <definedName name="IQ_PROVED_RESERVES_CALORIFIC_VALUE_MET_COAL" hidden="1">"c9737"</definedName>
    <definedName name="IQ_PROVED_RESERVES_CALORIFIC_VALUE_STEAM" hidden="1">"c9767"</definedName>
    <definedName name="IQ_PROVED_RESERVES_GRADE_ALUM" hidden="1">"c9208"</definedName>
    <definedName name="IQ_PROVED_RESERVES_GRADE_COP" hidden="1">"c9152"</definedName>
    <definedName name="IQ_PROVED_RESERVES_GRADE_DIAM" hidden="1">"c9632"</definedName>
    <definedName name="IQ_PROVED_RESERVES_GRADE_GOLD" hidden="1">"c8993"</definedName>
    <definedName name="IQ_PROVED_RESERVES_GRADE_IRON" hidden="1">"c9367"</definedName>
    <definedName name="IQ_PROVED_RESERVES_GRADE_LEAD" hidden="1">"c9420"</definedName>
    <definedName name="IQ_PROVED_RESERVES_GRADE_MANG" hidden="1">"c9473"</definedName>
    <definedName name="IQ_PROVED_RESERVES_GRADE_MOLYB" hidden="1">"c9685"</definedName>
    <definedName name="IQ_PROVED_RESERVES_GRADE_NICK" hidden="1">"c9261"</definedName>
    <definedName name="IQ_PROVED_RESERVES_GRADE_PLAT" hidden="1">"c9099"</definedName>
    <definedName name="IQ_PROVED_RESERVES_GRADE_SILVER" hidden="1">"c9046"</definedName>
    <definedName name="IQ_PROVED_RESERVES_GRADE_TITAN" hidden="1">"c9526"</definedName>
    <definedName name="IQ_PROVED_RESERVES_GRADE_URAN" hidden="1">"c9579"</definedName>
    <definedName name="IQ_PROVED_RESERVES_GRADE_ZINC" hidden="1">"c9314"</definedName>
    <definedName name="IQ_PROVISION_10YR_ANN_CAGR" hidden="1">"c6135"</definedName>
    <definedName name="IQ_PROVISION_10YR_ANN_GROWTH" hidden="1">"c1077"</definedName>
    <definedName name="IQ_PROVISION_1YR_ANN_GROWTH" hidden="1">"c1078"</definedName>
    <definedName name="IQ_PROVISION_2YR_ANN_CAGR" hidden="1">"c6136"</definedName>
    <definedName name="IQ_PROVISION_2YR_ANN_GROWTH" hidden="1">"c1079"</definedName>
    <definedName name="IQ_PROVISION_3YR_ANN_CAGR" hidden="1">"c6137"</definedName>
    <definedName name="IQ_PROVISION_3YR_ANN_GROWTH" hidden="1">"c1080"</definedName>
    <definedName name="IQ_PROVISION_5YR_ANN_CAGR" hidden="1">"c6138"</definedName>
    <definedName name="IQ_PROVISION_5YR_ANN_GROWTH" hidden="1">"c1081"</definedName>
    <definedName name="IQ_PROVISION_7YR_ANN_CAGR" hidden="1">"c6139"</definedName>
    <definedName name="IQ_PROVISION_7YR_ANN_GROWTH" hidden="1">"c1082"</definedName>
    <definedName name="IQ_PROVISION_CHARGE_OFFS" hidden="1">"c1083"</definedName>
    <definedName name="IQ_PROVISION_LL_FFIEC" hidden="1">"c13019"</definedName>
    <definedName name="IQ_PROVISION_LOSSES_AVG_ASSETS_FFIEC" hidden="1">"c13362"</definedName>
    <definedName name="IQ_PROVISION_LOSSES_AVG_LOANS_FFIEC" hidden="1">"c13470"</definedName>
    <definedName name="IQ_PROVISION_LOSSES_NET_LOSSES_FFIEC" hidden="1">"c13471"</definedName>
    <definedName name="IQ_PTBV" hidden="1">"c1084"</definedName>
    <definedName name="IQ_PTBV_AVG" hidden="1">"c1085"</definedName>
    <definedName name="IQ_PURCHASE_FOREIGN_CURRENCIES_FDIC" hidden="1">"c6513"</definedName>
    <definedName name="IQ_PURCHASE_TREASURY_FFIEC" hidden="1">"c12966"</definedName>
    <definedName name="IQ_PURCHASED_CREDIT_RELS_SERVICING_ASSETS_FFIEC" hidden="1">"c12839"</definedName>
    <definedName name="IQ_PURCHASED_OPTION_CONTRACTS_FDIC" hidden="1">"c6510"</definedName>
    <definedName name="IQ_PURCHASED_OPTION_CONTRACTS_FX_RISK_FDIC" hidden="1">"c6515"</definedName>
    <definedName name="IQ_PURCHASED_OPTION_CONTRACTS_NON_FX_IR_FDIC" hidden="1">"c6520"</definedName>
    <definedName name="IQ_PURCHASES_EQUIP_NONRES_SAAR_APR_FC_UNUSED" hidden="1">"c8491"</definedName>
    <definedName name="IQ_PURCHASES_EQUIP_NONRES_SAAR_APR_FC_UNUSED_UNUSED_UNUSED" hidden="1">"c8491"</definedName>
    <definedName name="IQ_PURCHASES_EQUIP_NONRES_SAAR_APR_UNUSED" hidden="1">"c7611"</definedName>
    <definedName name="IQ_PURCHASES_EQUIP_NONRES_SAAR_APR_UNUSED_UNUSED_UNUSED" hidden="1">"c7611"</definedName>
    <definedName name="IQ_PURCHASES_EQUIP_NONRES_SAAR_FC_UNUSED" hidden="1">"c7831"</definedName>
    <definedName name="IQ_PURCHASES_EQUIP_NONRES_SAAR_FC_UNUSED_UNUSED_UNUSED" hidden="1">"c7831"</definedName>
    <definedName name="IQ_PURCHASES_EQUIP_NONRES_SAAR_POP_FC_UNUSED" hidden="1">"c8051"</definedName>
    <definedName name="IQ_PURCHASES_EQUIP_NONRES_SAAR_POP_FC_UNUSED_UNUSED_UNUSED" hidden="1">"c8051"</definedName>
    <definedName name="IQ_PURCHASES_EQUIP_NONRES_SAAR_POP_UNUSED" hidden="1">"c7171"</definedName>
    <definedName name="IQ_PURCHASES_EQUIP_NONRES_SAAR_POP_UNUSED_UNUSED_UNUSED" hidden="1">"c7171"</definedName>
    <definedName name="IQ_PURCHASES_EQUIP_NONRES_SAAR_UNUSED" hidden="1">"c6951"</definedName>
    <definedName name="IQ_PURCHASES_EQUIP_NONRES_SAAR_UNUSED_UNUSED_UNUSED" hidden="1">"c6951"</definedName>
    <definedName name="IQ_PURCHASES_EQUIP_NONRES_SAAR_YOY_FC_UNUSED" hidden="1">"c8271"</definedName>
    <definedName name="IQ_PURCHASES_EQUIP_NONRES_SAAR_YOY_FC_UNUSED_UNUSED_UNUSED" hidden="1">"c8271"</definedName>
    <definedName name="IQ_PURCHASES_EQUIP_NONRES_SAAR_YOY_UNUSED" hidden="1">"c7391"</definedName>
    <definedName name="IQ_PURCHASES_EQUIP_NONRES_SAAR_YOY_UNUSED_UNUSED_UNUSED" hidden="1">"c7391"</definedName>
    <definedName name="IQ_PURCHASING_SECURITIES_LL_REC_FFIEC" hidden="1">"c12893"</definedName>
    <definedName name="IQ_PUT_DATE_SCHEDULE" hidden="1">"c2483"</definedName>
    <definedName name="IQ_PUT_NOTIFICATION" hidden="1">"c2485"</definedName>
    <definedName name="IQ_PUT_PRICE_SCHEDULE" hidden="1">"c2484"</definedName>
    <definedName name="IQ_PV_PREMIUMS_NEW_BUSINESS" hidden="1">"c9973"</definedName>
    <definedName name="IQ_QTD" hidden="1">750000</definedName>
    <definedName name="IQ_QUALIFYING_MINORITY_INT_T1_FFIEC" hidden="1">"c13135"</definedName>
    <definedName name="IQ_QUALIFYING_SUB_DEBT_REDEEM_PREF_T2_FFIEC" hidden="1">"c13144"</definedName>
    <definedName name="IQ_QUALIFYING_TRUST_PREFERRED_T1_FFIEC" hidden="1">"c13136"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_1_4_RISK_BASED_FFIEC" hidden="1">"c13418"</definedName>
    <definedName name="IQ_RE_ACQ_SATISFACTION_DEBTS_FFIEC" hidden="1">"c12832"</definedName>
    <definedName name="IQ_RE_DEPR_AMORT" hidden="1">"c8750"</definedName>
    <definedName name="IQ_RE_FARMLAND_GROSS_LOANS_FFIEC" hidden="1">"c13408"</definedName>
    <definedName name="IQ_RE_FARMLAND_RISK_BASED_FFIEC" hidden="1">"c13429"</definedName>
    <definedName name="IQ_RE_FCCR" hidden="1">"c8858"</definedName>
    <definedName name="IQ_RE_FCCR_CONT_OPS" hidden="1">"c8859"</definedName>
    <definedName name="IQ_RE_FCCR_INCL_DISC_OPS" hidden="1">"c8860"</definedName>
    <definedName name="IQ_RE_FCCR_INCL_PREF_DIV" hidden="1">"c8861"</definedName>
    <definedName name="IQ_RE_FCCR_INCL_PREF_DIV_CONT_OPS" hidden="1">"c8862"</definedName>
    <definedName name="IQ_RE_FCCR_INCL_PREF_DIV_INCL_DISC_OPS" hidden="1">"c8863"</definedName>
    <definedName name="IQ_RE_FIXED_CHARGES" hidden="1">"c8856"</definedName>
    <definedName name="IQ_RE_FIXED_CHARGES_INCL_PREF_DIV" hidden="1">"c8857"</definedName>
    <definedName name="IQ_RE_FORECLOSURE_FDIC" hidden="1">"c6332"</definedName>
    <definedName name="IQ_RE_FOREIGN_FFIEC" hidden="1">"c13479"</definedName>
    <definedName name="IQ_RE_GAIN_LOSS_SALE_ASSETS" hidden="1">"c8751"</definedName>
    <definedName name="IQ_RE_INVEST_FDIC" hidden="1">"c6331"</definedName>
    <definedName name="IQ_RE_LOANS_1_4_GROSS_LOANS_FFIEC" hidden="1">"c13397"</definedName>
    <definedName name="IQ_RE_LOANS_DOMESTIC_CHARGE_OFFS_FDIC" hidden="1">"c6589"</definedName>
    <definedName name="IQ_RE_LOANS_DOMESTIC_FDIC" hidden="1">"c6309"</definedName>
    <definedName name="IQ_RE_LOANS_DOMESTIC_NET_CHARGE_OFFS_FDIC" hidden="1">"c6627"</definedName>
    <definedName name="IQ_RE_LOANS_DOMESTIC_RECOVERIES_FDIC" hidden="1">"c6608"</definedName>
    <definedName name="IQ_RE_LOANS_FDIC" hidden="1">"c6308"</definedName>
    <definedName name="IQ_RE_LOANS_FOREIGN_CHARGE_OFFS_FDIC" hidden="1">"c6595"</definedName>
    <definedName name="IQ_RE_LOANS_FOREIGN_NET_CHARGE_OFFS_FDIC" hidden="1">"c6633"</definedName>
    <definedName name="IQ_RE_LOANS_FOREIGN_RECOVERIES_FDIC" hidden="1">"c6614"</definedName>
    <definedName name="IQ_RE_LOANS_GROSS_LOANS_FFIEC" hidden="1">"c13396"</definedName>
    <definedName name="IQ_RE_MAINT_CAPEX" hidden="1">"c8755"</definedName>
    <definedName name="IQ_RE_MINORITY_INTEREST" hidden="1">"c8752"</definedName>
    <definedName name="IQ_RE_NET_INCOME" hidden="1">"c8749"</definedName>
    <definedName name="IQ_RE_NOI" hidden="1">"c8864"</definedName>
    <definedName name="IQ_RE_NOI_GROWTH_SAME_PROP" hidden="1">"c8866"</definedName>
    <definedName name="IQ_RE_NOI_SAME_PROP" hidden="1">"c8865"</definedName>
    <definedName name="IQ_RE_OTHER_ITEMS" hidden="1">"c8753"</definedName>
    <definedName name="IQ_RE_RISK_BASED_FFIEC" hidden="1">"c13417"</definedName>
    <definedName name="IQ_REAL_ESTATE" hidden="1">"c1093"</definedName>
    <definedName name="IQ_REAL_ESTATE_ASSETS" hidden="1">"c1094"</definedName>
    <definedName name="IQ_REALIZED_GAINS_AVAIL_SALE_SEC_FFIEC" hidden="1">"c13022"</definedName>
    <definedName name="IQ_REALIZED_GAINS_HELD_MATURITY_SEC_FFIEC" hidden="1">"c13021"</definedName>
    <definedName name="IQ_REALIZED_GAINS_SEC_TOT_FFIEC" hidden="1">"c13517"</definedName>
    <definedName name="IQ_RECOVERIES_1_4_FAMILY_LOANS_FDIC" hidden="1">"c6707"</definedName>
    <definedName name="IQ_RECOVERIES_AUTO_LOANS_FDIC" hidden="1">"c6701"</definedName>
    <definedName name="IQ_RECOVERIES_AVG_LOANS_FFIEC" hidden="1">"c13476"</definedName>
    <definedName name="IQ_RECOVERIES_CL_LOANS_FDIC" hidden="1">"c6702"</definedName>
    <definedName name="IQ_RECOVERIES_CREDIT_CARDS_RECEIVABLES_FDIC" hidden="1">"c6704"</definedName>
    <definedName name="IQ_RECOVERIES_HOME_EQUITY_LINES_FDIC" hidden="1">"c6705"</definedName>
    <definedName name="IQ_RECOVERIES_OTHER_CONSUMER_LOANS_FDIC" hidden="1">"c6703"</definedName>
    <definedName name="IQ_RECOVERIES_OTHER_LOANS_FDIC" hidden="1">"c6706"</definedName>
    <definedName name="IQ_RECURRING_PROFIT_ACT_OR_EST" hidden="1">"c4507"</definedName>
    <definedName name="IQ_RECURRING_PROFIT_ACT_OR_EST_CIQ" hidden="1">"c5045"</definedName>
    <definedName name="IQ_RECURRING_PROFIT_EST" hidden="1">"c4499"</definedName>
    <definedName name="IQ_RECURRING_PROFIT_GUIDANCE" hidden="1">"c4500"</definedName>
    <definedName name="IQ_RECURRING_PROFIT_HIGH_EST" hidden="1">"c4501"</definedName>
    <definedName name="IQ_RECURRING_PROFIT_HIGH_GUIDANCE" hidden="1">"c4179"</definedName>
    <definedName name="IQ_RECURRING_PROFIT_LOW_EST" hidden="1">"c4502"</definedName>
    <definedName name="IQ_RECURRING_PROFIT_LOW_GUIDANCE" hidden="1">"c4219"</definedName>
    <definedName name="IQ_RECURRING_PROFIT_MEDIAN_EST" hidden="1">"c4503"</definedName>
    <definedName name="IQ_RECURRING_PROFIT_NUM_EST" hidden="1">"c4504"</definedName>
    <definedName name="IQ_RECURRING_PROFIT_SHARE_ACT_OR_EST" hidden="1">"c4508"</definedName>
    <definedName name="IQ_RECURRING_PROFIT_SHARE_ACT_OR_EST_CIQ" hidden="1">"c5046"</definedName>
    <definedName name="IQ_RECURRING_PROFIT_SHARE_EST" hidden="1">"c4506"</definedName>
    <definedName name="IQ_RECURRING_PROFIT_SHARE_GUIDANCE" hidden="1">"c4509"</definedName>
    <definedName name="IQ_RECURRING_PROFIT_SHARE_HIGH_EST" hidden="1">"c4510"</definedName>
    <definedName name="IQ_RECURRING_PROFIT_SHARE_HIGH_GUIDANCE" hidden="1">"c4200"</definedName>
    <definedName name="IQ_RECURRING_PROFIT_SHARE_LOW_EST" hidden="1">"c4511"</definedName>
    <definedName name="IQ_RECURRING_PROFIT_SHARE_LOW_GUIDANCE" hidden="1">"c4240"</definedName>
    <definedName name="IQ_RECURRING_PROFIT_SHARE_MEDIAN_EST" hidden="1">"c4512"</definedName>
    <definedName name="IQ_RECURRING_PROFIT_SHARE_NUM_EST" hidden="1">"c4513"</definedName>
    <definedName name="IQ_RECURRING_PROFIT_SHARE_STDDEV_EST" hidden="1">"c4514"</definedName>
    <definedName name="IQ_RECURRING_PROFIT_STDDEV_EST" hidden="1">"c4516"</definedName>
    <definedName name="IQ_REDEEM_PREF_STOCK" hidden="1">"c1417"</definedName>
    <definedName name="IQ_REF_ENTITY" hidden="1">"c6033"</definedName>
    <definedName name="IQ_REF_ENTITY_CIQID" hidden="1">"c6024"</definedName>
    <definedName name="IQ_REF_ENTITY_TICKER" hidden="1">"c6023"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INSURANCE_RECOVERABLE_ASSETS_LH_FFIEC" hidden="1">"c13104"</definedName>
    <definedName name="IQ_REINSURANCE_RECOVERABLE_ASSETS_PC_FFIEC" hidden="1">"c13098"</definedName>
    <definedName name="IQ_RELATED_PLANS_FDIC" hidden="1">"c6320"</definedName>
    <definedName name="IQ_RENT_OTHER_INC_FROM_OREO_FFIEC" hidden="1">"c13043"</definedName>
    <definedName name="IQ_RENT_PER_SQ_FT_AVG_CONSOL" hidden="1">"c8846"</definedName>
    <definedName name="IQ_RENT_PER_SQ_FT_AVG_MANAGED" hidden="1">"c8848"</definedName>
    <definedName name="IQ_RENT_PER_SQ_FT_AVG_OTHER" hidden="1">"c8849"</definedName>
    <definedName name="IQ_RENT_PER_SQ_FT_AVG_TOTAL" hidden="1">"c8850"</definedName>
    <definedName name="IQ_RENT_PER_SQ_FT_AVG_UNCONSOL" hidden="1">"c8847"</definedName>
    <definedName name="IQ_RENT_PER_SQ_METER_AVG_CONSOL" hidden="1">"c8851"</definedName>
    <definedName name="IQ_RENT_PER_SQ_METER_AVG_MANAGED" hidden="1">"c8853"</definedName>
    <definedName name="IQ_RENT_PER_SQ_METER_AVG_OTHER" hidden="1">"c8854"</definedName>
    <definedName name="IQ_RENT_PER_SQ_METER_AVG_TOTAL" hidden="1">"c8855"</definedName>
    <definedName name="IQ_RENT_PER_SQ_METER_AVG_UNCONSOL" hidden="1">"c8852"</definedName>
    <definedName name="IQ_RENT_SAFE_DEPOSIT_FFIEC" hidden="1">"c13044"</definedName>
    <definedName name="IQ_RENTAL_REV" hidden="1">"c1101"</definedName>
    <definedName name="IQ_REPRICEABLE_EARNING_ASSETS_INT_SENSITIVITY_FFIEC" hidden="1">"c13093"</definedName>
    <definedName name="IQ_REPRICEABLE_INT_DEPOSITS_INT_SENSITIVITY_FFIEC" hidden="1">"c13094"</definedName>
    <definedName name="IQ_REPURCHASED_REBOOKED_GNMA_DUE_30_89_FFIEC" hidden="1">"c13283"</definedName>
    <definedName name="IQ_REPURCHASED_REBOOKED_GNMA_DUE_90_FFIEC" hidden="1">"c13309"</definedName>
    <definedName name="IQ_REPURCHASED_REBOOKED_GNMA_NON_ACCRUAL_FFIEC" hidden="1">"c13334"</definedName>
    <definedName name="IQ_RES_CONST_REAL_APR_FC_UNUSED" hidden="1">"c8536"</definedName>
    <definedName name="IQ_RES_CONST_REAL_APR_FC_UNUSED_UNUSED_UNUSED" hidden="1">"c8536"</definedName>
    <definedName name="IQ_RES_CONST_REAL_APR_UNUSED" hidden="1">"c7656"</definedName>
    <definedName name="IQ_RES_CONST_REAL_APR_UNUSED_UNUSED_UNUSED" hidden="1">"c7656"</definedName>
    <definedName name="IQ_RES_CONST_REAL_FC_UNUSED" hidden="1">"c7876"</definedName>
    <definedName name="IQ_RES_CONST_REAL_FC_UNUSED_UNUSED_UNUSED" hidden="1">"c7876"</definedName>
    <definedName name="IQ_RES_CONST_REAL_POP_FC_UNUSED" hidden="1">"c8096"</definedName>
    <definedName name="IQ_RES_CONST_REAL_POP_FC_UNUSED_UNUSED_UNUSED" hidden="1">"c8096"</definedName>
    <definedName name="IQ_RES_CONST_REAL_POP_UNUSED" hidden="1">"c7216"</definedName>
    <definedName name="IQ_RES_CONST_REAL_POP_UNUSED_UNUSED_UNUSED" hidden="1">"c7216"</definedName>
    <definedName name="IQ_RES_CONST_REAL_SAAR_APR_FC_UNUSED" hidden="1">"c8537"</definedName>
    <definedName name="IQ_RES_CONST_REAL_SAAR_APR_FC_UNUSED_UNUSED_UNUSED" hidden="1">"c8537"</definedName>
    <definedName name="IQ_RES_CONST_REAL_SAAR_APR_UNUSED" hidden="1">"c7657"</definedName>
    <definedName name="IQ_RES_CONST_REAL_SAAR_APR_UNUSED_UNUSED_UNUSED" hidden="1">"c7657"</definedName>
    <definedName name="IQ_RES_CONST_REAL_SAAR_FC_UNUSED" hidden="1">"c7877"</definedName>
    <definedName name="IQ_RES_CONST_REAL_SAAR_FC_UNUSED_UNUSED_UNUSED" hidden="1">"c7877"</definedName>
    <definedName name="IQ_RES_CONST_REAL_SAAR_POP_FC_UNUSED" hidden="1">"c8097"</definedName>
    <definedName name="IQ_RES_CONST_REAL_SAAR_POP_FC_UNUSED_UNUSED_UNUSED" hidden="1">"c8097"</definedName>
    <definedName name="IQ_RES_CONST_REAL_SAAR_POP_UNUSED" hidden="1">"c7217"</definedName>
    <definedName name="IQ_RES_CONST_REAL_SAAR_POP_UNUSED_UNUSED_UNUSED" hidden="1">"c7217"</definedName>
    <definedName name="IQ_RES_CONST_REAL_SAAR_UNUSED" hidden="1">"c6997"</definedName>
    <definedName name="IQ_RES_CONST_REAL_SAAR_UNUSED_UNUSED_UNUSED" hidden="1">"c6997"</definedName>
    <definedName name="IQ_RES_CONST_REAL_SAAR_YOY_FC_UNUSED" hidden="1">"c8317"</definedName>
    <definedName name="IQ_RES_CONST_REAL_SAAR_YOY_FC_UNUSED_UNUSED_UNUSED" hidden="1">"c8317"</definedName>
    <definedName name="IQ_RES_CONST_REAL_SAAR_YOY_UNUSED" hidden="1">"c7437"</definedName>
    <definedName name="IQ_RES_CONST_REAL_SAAR_YOY_UNUSED_UNUSED_UNUSED" hidden="1">"c7437"</definedName>
    <definedName name="IQ_RES_CONST_REAL_UNUSED" hidden="1">"c6996"</definedName>
    <definedName name="IQ_RES_CONST_REAL_UNUSED_UNUSED_UNUSED" hidden="1">"c6996"</definedName>
    <definedName name="IQ_RES_CONST_REAL_YOY_FC_UNUSED" hidden="1">"c8316"</definedName>
    <definedName name="IQ_RES_CONST_REAL_YOY_FC_UNUSED_UNUSED_UNUSED" hidden="1">"c8316"</definedName>
    <definedName name="IQ_RES_CONST_REAL_YOY_UNUSED" hidden="1">"c7436"</definedName>
    <definedName name="IQ_RES_CONST_REAL_YOY_UNUSED_UNUSED_UNUSED" hidden="1">"c7436"</definedName>
    <definedName name="IQ_RES_CONST_SAAR_APR_FC_UNUSED" hidden="1">"c8540"</definedName>
    <definedName name="IQ_RES_CONST_SAAR_APR_FC_UNUSED_UNUSED_UNUSED" hidden="1">"c8540"</definedName>
    <definedName name="IQ_RES_CONST_SAAR_APR_UNUSED" hidden="1">"c7660"</definedName>
    <definedName name="IQ_RES_CONST_SAAR_APR_UNUSED_UNUSED_UNUSED" hidden="1">"c7660"</definedName>
    <definedName name="IQ_RES_CONST_SAAR_FC_UNUSED" hidden="1">"c7880"</definedName>
    <definedName name="IQ_RES_CONST_SAAR_FC_UNUSED_UNUSED_UNUSED" hidden="1">"c7880"</definedName>
    <definedName name="IQ_RES_CONST_SAAR_POP_FC_UNUSED" hidden="1">"c8100"</definedName>
    <definedName name="IQ_RES_CONST_SAAR_POP_FC_UNUSED_UNUSED_UNUSED" hidden="1">"c8100"</definedName>
    <definedName name="IQ_RES_CONST_SAAR_POP_UNUSED" hidden="1">"c7220"</definedName>
    <definedName name="IQ_RES_CONST_SAAR_POP_UNUSED_UNUSED_UNUSED" hidden="1">"c7220"</definedName>
    <definedName name="IQ_RES_CONST_SAAR_UNUSED" hidden="1">"c7000"</definedName>
    <definedName name="IQ_RES_CONST_SAAR_UNUSED_UNUSED_UNUSED" hidden="1">"c7000"</definedName>
    <definedName name="IQ_RES_CONST_SAAR_YOY_FC_UNUSED" hidden="1">"c8320"</definedName>
    <definedName name="IQ_RES_CONST_SAAR_YOY_FC_UNUSED_UNUSED_UNUSED" hidden="1">"c8320"</definedName>
    <definedName name="IQ_RES_CONST_SAAR_YOY_UNUSED" hidden="1">"c7440"</definedName>
    <definedName name="IQ_RES_CONST_SAAR_YOY_UNUSED_UNUSED_UNUSED" hidden="1">"c7440"</definedName>
    <definedName name="IQ_RES_FIXED_INVEST" hidden="1">"c7001"</definedName>
    <definedName name="IQ_RES_FIXED_INVEST_APR" hidden="1">"c7661"</definedName>
    <definedName name="IQ_RES_FIXED_INVEST_APR_FC" hidden="1">"c8541"</definedName>
    <definedName name="IQ_RES_FIXED_INVEST_FC" hidden="1">"c7881"</definedName>
    <definedName name="IQ_RES_FIXED_INVEST_POP" hidden="1">"c7221"</definedName>
    <definedName name="IQ_RES_FIXED_INVEST_POP_FC" hidden="1">"c8101"</definedName>
    <definedName name="IQ_RES_FIXED_INVEST_REAL" hidden="1">"c6998"</definedName>
    <definedName name="IQ_RES_FIXED_INVEST_REAL_APR" hidden="1">"c7658"</definedName>
    <definedName name="IQ_RES_FIXED_INVEST_REAL_APR_FC" hidden="1">"c8538"</definedName>
    <definedName name="IQ_RES_FIXED_INVEST_REAL_FC" hidden="1">"c7878"</definedName>
    <definedName name="IQ_RES_FIXED_INVEST_REAL_POP" hidden="1">"c7218"</definedName>
    <definedName name="IQ_RES_FIXED_INVEST_REAL_POP_FC" hidden="1">"c8098"</definedName>
    <definedName name="IQ_RES_FIXED_INVEST_REAL_YOY" hidden="1">"c7438"</definedName>
    <definedName name="IQ_RES_FIXED_INVEST_REAL_YOY_FC" hidden="1">"c8318"</definedName>
    <definedName name="IQ_RES_FIXED_INVEST_SAAR" hidden="1">"c11994"</definedName>
    <definedName name="IQ_RES_FIXED_INVEST_SAAR_APR" hidden="1">"c11997"</definedName>
    <definedName name="IQ_RES_FIXED_INVEST_SAAR_POP" hidden="1">"c11995"</definedName>
    <definedName name="IQ_RES_FIXED_INVEST_SAAR_REAL" hidden="1">"c11990"</definedName>
    <definedName name="IQ_RES_FIXED_INVEST_SAAR_REAL_APR" hidden="1">"c11993"</definedName>
    <definedName name="IQ_RES_FIXED_INVEST_SAAR_REAL_POP" hidden="1">"c11991"</definedName>
    <definedName name="IQ_RES_FIXED_INVEST_SAAR_REAL_YOY" hidden="1">"c11992"</definedName>
    <definedName name="IQ_RES_FIXED_INVEST_SAAR_YOY" hidden="1">"c11996"</definedName>
    <definedName name="IQ_RES_FIXED_INVEST_YOY" hidden="1">"c7441"</definedName>
    <definedName name="IQ_RES_FIXED_INVEST_YOY_FC" hidden="1">"c8321"</definedName>
    <definedName name="IQ_RESEARCH_DEV" hidden="1">"c1419"</definedName>
    <definedName name="IQ_RESIDENTIAL_LOANS" hidden="1">"c1102"</definedName>
    <definedName name="IQ_REST_ACQUIRED_AFFILIATED_OTHER_RESTAURANTS" hidden="1">"c9873"</definedName>
    <definedName name="IQ_REST_ACQUIRED_FRANCHISE_RESTAURANTS" hidden="1">"c9867"</definedName>
    <definedName name="IQ_REST_ACQUIRED_OWNED_RESTAURANTS" hidden="1">"c9861"</definedName>
    <definedName name="IQ_REST_ACQUIRED_RESTAURANTS" hidden="1">"c9855"</definedName>
    <definedName name="IQ_REST_AFFILIATED_OTHER_RESTAURANTS_BEG" hidden="1">"c9871"</definedName>
    <definedName name="IQ_REST_AVG_VALUE_TRANSACTION" hidden="1">"c9887"</definedName>
    <definedName name="IQ_REST_AVG_VALUE_TRANSACTION_GROWTH" hidden="1">"c9888"</definedName>
    <definedName name="IQ_REST_AVG_WEEKLY_SALES" hidden="1">"c9879"</definedName>
    <definedName name="IQ_REST_AVG_WEEKLY_SALES_FRANCHISE" hidden="1">"c9877"</definedName>
    <definedName name="IQ_REST_AVG_WEEKLY_SALES_OWNED" hidden="1">"c9878"</definedName>
    <definedName name="IQ_REST_CLOSED_AFFILIATED_OTHER_RESTAURANTS" hidden="1">"c9874"</definedName>
    <definedName name="IQ_REST_CLOSED_FRANCHISE_RESTAURANTS" hidden="1">"c9868"</definedName>
    <definedName name="IQ_REST_CLOSED_OWNED_RESTAURANTS" hidden="1">"c9862"</definedName>
    <definedName name="IQ_REST_CLOSED_RESTAURANTS" hidden="1">"c9856"</definedName>
    <definedName name="IQ_REST_FRANCHISE_RESTAURANTS_BEG" hidden="1">"c9865"</definedName>
    <definedName name="IQ_REST_GUEST_COUNT_GROWTH" hidden="1">"c9889"</definedName>
    <definedName name="IQ_REST_OPENED_AFFILIATED_OTHER_RESTAURANTS" hidden="1">"c9872"</definedName>
    <definedName name="IQ_REST_OPENED_FRANCHISE_RESTAURANTS" hidden="1">"c9866"</definedName>
    <definedName name="IQ_REST_OPENED_OWNED_RESTAURANTS" hidden="1">"c9860"</definedName>
    <definedName name="IQ_REST_OPENED_RESTAURANTS" hidden="1">"c9854"</definedName>
    <definedName name="IQ_REST_OPERATING_MARGIN" hidden="1">"c9886"</definedName>
    <definedName name="IQ_REST_OWNED_RESTAURANTS_BEG" hidden="1">"c9859"</definedName>
    <definedName name="IQ_REST_RESTAURANTS_BEG" hidden="1">"c9853"</definedName>
    <definedName name="IQ_REST_SAME_RESTAURANT_SALES" hidden="1">"c9885"</definedName>
    <definedName name="IQ_REST_SAME_RESTAURANT_SALES_FRANCHISE" hidden="1">"c9883"</definedName>
    <definedName name="IQ_REST_SAME_RESTAURANT_SALES_GROWTH" hidden="1">"c9882"</definedName>
    <definedName name="IQ_REST_SAME_RESTAURANT_SALES_GROWTH_FRANCHISE" hidden="1">"c9880"</definedName>
    <definedName name="IQ_REST_SAME_RESTAURANT_SALES_GROWTH_OWNED" hidden="1">"c9881"</definedName>
    <definedName name="IQ_REST_SAME_RESTAURANT_SALES_OWNED" hidden="1">"c9884"</definedName>
    <definedName name="IQ_REST_SOLD_AFFILIATED_OTHER_RESTAURANTS" hidden="1">"c9875"</definedName>
    <definedName name="IQ_REST_SOLD_FRANCHISE_RESTAURANTS" hidden="1">"c9869"</definedName>
    <definedName name="IQ_REST_SOLD_OWNED_RESTAURANTS" hidden="1">"c9863"</definedName>
    <definedName name="IQ_REST_SOLD_RESTAURANTS" hidden="1">"c9857"</definedName>
    <definedName name="IQ_REST_TOTAL_AFFILIATED_OTHER_RESTAURANTS" hidden="1">"c9876"</definedName>
    <definedName name="IQ_REST_TOTAL_FRANCHISE_RESTAURANTS" hidden="1">"c9870"</definedName>
    <definedName name="IQ_REST_TOTAL_OWNED_RESTAURANTS" hidden="1">"c9864"</definedName>
    <definedName name="IQ_REST_TOTAL_RESTAURANTS" hidden="1">"c9858"</definedName>
    <definedName name="IQ_RESTATEMENT_BS" hidden="1">"c1643"</definedName>
    <definedName name="IQ_RESTATEMENT_CF" hidden="1">"c1644"</definedName>
    <definedName name="IQ_RESTATEMENT_IS" hidden="1">"c1642"</definedName>
    <definedName name="IQ_RESTATEMENTS_FFIEC" hidden="1">"c12958"</definedName>
    <definedName name="IQ_RESTATEMENTS_NET_FDIC" hidden="1">"c6500"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ICTED_CASH_NON_CURRENT" hidden="1">"c6192"</definedName>
    <definedName name="IQ_RESTRICTED_CASH_TOTAL" hidden="1">"c6193"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" hidden="1">"c6264"</definedName>
    <definedName name="IQ_RESTRUCTURE_REIT" hidden="1">"c1110"</definedName>
    <definedName name="IQ_RESTRUCTURE_UTI" hidden="1">"c1111"</definedName>
    <definedName name="IQ_RESTRUCTURED_LOANS" hidden="1">"c1112"</definedName>
    <definedName name="IQ_RESTRUCTURED_LOANS_1_4_RESIDENTIAL_FDIC" hidden="1">"c6378"</definedName>
    <definedName name="IQ_RESTRUCTURED_LOANS_LEASES_FDIC" hidden="1">"c6377"</definedName>
    <definedName name="IQ_RESTRUCTURED_LOANS_NON_1_4_FDIC" hidden="1">"c6379"</definedName>
    <definedName name="IQ_RETAIL_ACQUIRED_AFFILIATED_OTHER_STORES" hidden="1">"c9892"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FFILIATED_OTHER_STORES_BEG" hidden="1">"c9890"</definedName>
    <definedName name="IQ_RETAIL_AVG_SQ_METERS_GROSS" hidden="1">"c9908"</definedName>
    <definedName name="IQ_RETAIL_AVG_SQ_METERS_NET" hidden="1">"c9907"</definedName>
    <definedName name="IQ_RETAIL_AVG_STORE_SIZE_GROSS" hidden="1">"c2066"</definedName>
    <definedName name="IQ_RETAIL_AVG_STORE_SIZE_NET" hidden="1">"c2067"</definedName>
    <definedName name="IQ_RETAIL_AVG_VALUE_TRANSACTION" hidden="1">"c9915"</definedName>
    <definedName name="IQ_RETAIL_AVG_VALUE_TRANSACTION_GROWTH" hidden="1">"c9916"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AFFILIATED_OTHER_STORES" hidden="1">"c9893"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DEPOSITS_FDIC" hidden="1">"c6488"</definedName>
    <definedName name="IQ_RETAIL_FRANCHISE_STORES_BEG" hidden="1">"c2893"</definedName>
    <definedName name="IQ_RETAIL_GROSS_MARGIN" hidden="1">"c9899"</definedName>
    <definedName name="IQ_RETAIL_IS_RATIO" hidden="1">"c7002"</definedName>
    <definedName name="IQ_RETAIL_IS_RATIO_FC" hidden="1">"c7882"</definedName>
    <definedName name="IQ_RETAIL_IS_RATIO_POP" hidden="1">"c7222"</definedName>
    <definedName name="IQ_RETAIL_IS_RATIO_POP_FC" hidden="1">"c8102"</definedName>
    <definedName name="IQ_RETAIL_IS_RATIO_YOY" hidden="1">"c7442"</definedName>
    <definedName name="IQ_RETAIL_IS_RATIO_YOY_FC" hidden="1">"c8322"</definedName>
    <definedName name="IQ_RETAIL_MERCHANDISE_MARGIN" hidden="1">"c9901"</definedName>
    <definedName name="IQ_RETAIL_OPENED_AFFILIATED_OTHER_STORES" hidden="1">"c9891"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PERATING_MARGIN" hidden="1">"c9900"</definedName>
    <definedName name="IQ_RETAIL_OWNED_STORES_BEG" hidden="1">"c2901"</definedName>
    <definedName name="IQ_RETAIL_SALES" hidden="1">"c7003"</definedName>
    <definedName name="IQ_RETAIL_SALES_APR" hidden="1">"c7663"</definedName>
    <definedName name="IQ_RETAIL_SALES_APR_FC" hidden="1">"c8543"</definedName>
    <definedName name="IQ_RETAIL_SALES_CATALOG" hidden="1">"c9903"</definedName>
    <definedName name="IQ_RETAIL_SALES_FC" hidden="1">"c7883"</definedName>
    <definedName name="IQ_RETAIL_SALES_FOOD" hidden="1">"c7004"</definedName>
    <definedName name="IQ_RETAIL_SALES_FOOD_APR" hidden="1">"c7664"</definedName>
    <definedName name="IQ_RETAIL_SALES_FOOD_APR_FC" hidden="1">"c8544"</definedName>
    <definedName name="IQ_RETAIL_SALES_FOOD_EXCL_VEHICLE" hidden="1">"c7005"</definedName>
    <definedName name="IQ_RETAIL_SALES_FOOD_EXCL_VEHICLE_APR" hidden="1">"c7665"</definedName>
    <definedName name="IQ_RETAIL_SALES_FOOD_EXCL_VEHICLE_APR_FC" hidden="1">"c8545"</definedName>
    <definedName name="IQ_RETAIL_SALES_FOOD_EXCL_VEHICLE_FC" hidden="1">"c7885"</definedName>
    <definedName name="IQ_RETAIL_SALES_FOOD_EXCL_VEHICLE_POP" hidden="1">"c7225"</definedName>
    <definedName name="IQ_RETAIL_SALES_FOOD_EXCL_VEHICLE_POP_FC" hidden="1">"c8105"</definedName>
    <definedName name="IQ_RETAIL_SALES_FOOD_EXCL_VEHICLE_YOY" hidden="1">"c7445"</definedName>
    <definedName name="IQ_RETAIL_SALES_FOOD_EXCL_VEHICLE_YOY_FC" hidden="1">"c8325"</definedName>
    <definedName name="IQ_RETAIL_SALES_FOOD_FC" hidden="1">"c7884"</definedName>
    <definedName name="IQ_RETAIL_SALES_FOOD_POP" hidden="1">"c7224"</definedName>
    <definedName name="IQ_RETAIL_SALES_FOOD_POP_FC" hidden="1">"c8104"</definedName>
    <definedName name="IQ_RETAIL_SALES_FOOD_YOY" hidden="1">"c7444"</definedName>
    <definedName name="IQ_RETAIL_SALES_FOOD_YOY_FC" hidden="1">"c8324"</definedName>
    <definedName name="IQ_RETAIL_SALES_ONLINE" hidden="1">"c9904"</definedName>
    <definedName name="IQ_RETAIL_SALES_POP" hidden="1">"c7223"</definedName>
    <definedName name="IQ_RETAIL_SALES_POP_FC" hidden="1">"c8103"</definedName>
    <definedName name="IQ_RETAIL_SALES_RETAIL" hidden="1">"c9902"</definedName>
    <definedName name="IQ_RETAIL_SALES_SAAR" hidden="1">"c7009"</definedName>
    <definedName name="IQ_RETAIL_SALES_SAAR_APR" hidden="1">"c7669"</definedName>
    <definedName name="IQ_RETAIL_SALES_SAAR_APR_FC" hidden="1">"c8549"</definedName>
    <definedName name="IQ_RETAIL_SALES_SAAR_FC" hidden="1">"c7889"</definedName>
    <definedName name="IQ_RETAIL_SALES_SAAR_POP" hidden="1">"c7229"</definedName>
    <definedName name="IQ_RETAIL_SALES_SAAR_POP_FC" hidden="1">"c8109"</definedName>
    <definedName name="IQ_RETAIL_SALES_SAAR_YOY" hidden="1">"c7449"</definedName>
    <definedName name="IQ_RETAIL_SALES_SAAR_YOY_FC" hidden="1">"c8329"</definedName>
    <definedName name="IQ_RETAIL_SALES_SQ_METER_COMPARABLE_GROSS" hidden="1">"c9914"</definedName>
    <definedName name="IQ_RETAIL_SALES_SQ_METER_COMPARABLE_NET" hidden="1">"c9913"</definedName>
    <definedName name="IQ_RETAIL_SALES_SQ_METER_GROSS" hidden="1">"c9910"</definedName>
    <definedName name="IQ_RETAIL_SALES_SQ_METER_NET" hidden="1">"c9909"</definedName>
    <definedName name="IQ_RETAIL_SALES_SQ_METER_OWNED_GROSS" hidden="1">"c9912"</definedName>
    <definedName name="IQ_RETAIL_SALES_SQ_METER_OWNED_NET" hidden="1">"c9911"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ALES_VALUE_INDEX" hidden="1">"c7006"</definedName>
    <definedName name="IQ_RETAIL_SALES_VALUE_INDEX_APR" hidden="1">"c7666"</definedName>
    <definedName name="IQ_RETAIL_SALES_VALUE_INDEX_APR_FC" hidden="1">"c8546"</definedName>
    <definedName name="IQ_RETAIL_SALES_VALUE_INDEX_FC" hidden="1">"c7886"</definedName>
    <definedName name="IQ_RETAIL_SALES_VALUE_INDEX_POP" hidden="1">"c7226"</definedName>
    <definedName name="IQ_RETAIL_SALES_VALUE_INDEX_POP_FC" hidden="1">"c8106"</definedName>
    <definedName name="IQ_RETAIL_SALES_VALUE_INDEX_YOY" hidden="1">"c7446"</definedName>
    <definedName name="IQ_RETAIL_SALES_VALUE_INDEX_YOY_FC" hidden="1">"c8326"</definedName>
    <definedName name="IQ_RETAIL_SALES_VOL_INDEX" hidden="1">"c7007"</definedName>
    <definedName name="IQ_RETAIL_SALES_VOL_INDEX_APR" hidden="1">"c7667"</definedName>
    <definedName name="IQ_RETAIL_SALES_VOL_INDEX_APR_FC" hidden="1">"c8547"</definedName>
    <definedName name="IQ_RETAIL_SALES_VOL_INDEX_EXCL_MOTOR" hidden="1">"c7008"</definedName>
    <definedName name="IQ_RETAIL_SALES_VOL_INDEX_EXCL_MOTOR_APR" hidden="1">"c7668"</definedName>
    <definedName name="IQ_RETAIL_SALES_VOL_INDEX_EXCL_MOTOR_APR_FC" hidden="1">"c8548"</definedName>
    <definedName name="IQ_RETAIL_SALES_VOL_INDEX_EXCL_MOTOR_FC" hidden="1">"c7888"</definedName>
    <definedName name="IQ_RETAIL_SALES_VOL_INDEX_EXCL_MOTOR_POP" hidden="1">"c7228"</definedName>
    <definedName name="IQ_RETAIL_SALES_VOL_INDEX_EXCL_MOTOR_POP_FC" hidden="1">"c8108"</definedName>
    <definedName name="IQ_RETAIL_SALES_VOL_INDEX_EXCL_MOTOR_YOY" hidden="1">"c7448"</definedName>
    <definedName name="IQ_RETAIL_SALES_VOL_INDEX_EXCL_MOTOR_YOY_FC" hidden="1">"c8328"</definedName>
    <definedName name="IQ_RETAIL_SALES_VOL_INDEX_FC" hidden="1">"c7887"</definedName>
    <definedName name="IQ_RETAIL_SALES_VOL_INDEX_POP" hidden="1">"c7227"</definedName>
    <definedName name="IQ_RETAIL_SALES_VOL_INDEX_POP_FC" hidden="1">"c8107"</definedName>
    <definedName name="IQ_RETAIL_SALES_VOL_INDEX_YOY" hidden="1">"c7447"</definedName>
    <definedName name="IQ_RETAIL_SALES_VOL_INDEX_YOY_FC" hidden="1">"c8327"</definedName>
    <definedName name="IQ_RETAIL_SALES_YOY" hidden="1">"c7443"</definedName>
    <definedName name="IQ_RETAIL_SALES_YOY_FC" hidden="1">"c8323"</definedName>
    <definedName name="IQ_RETAIL_SAME_STORE_SALES" hidden="1">"c9898"</definedName>
    <definedName name="IQ_RETAIL_SAME_STORE_SALES_FRANCHISE" hidden="1">"c9896"</definedName>
    <definedName name="IQ_RETAIL_SAME_STORE_SALES_OWNED" hidden="1">"c9897"</definedName>
    <definedName name="IQ_RETAIL_SOLD_AFFILIATED_OTHER_STORES" hidden="1">"c9894"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AFFILIATED_OTHER_STORES" hidden="1">"c9895"</definedName>
    <definedName name="IQ_RETAIL_TOTAL_FRANCHISE_STORES" hidden="1">"c2898"</definedName>
    <definedName name="IQ_RETAIL_TOTAL_OWNED_STORES" hidden="1">"c2906"</definedName>
    <definedName name="IQ_RETAIL_TOTAL_SQ_METERS_GROSS" hidden="1">"c9906"</definedName>
    <definedName name="IQ_RETAIL_TOTAL_SQ_METERS_NET" hidden="1">"c9905"</definedName>
    <definedName name="IQ_RETAIL_TOTAL_STORES" hidden="1">"c2061"</definedName>
    <definedName name="IQ_RETAINED_EARN" hidden="1">"c1420"</definedName>
    <definedName name="IQ_RETAINED_EARNINGS_AVERAGE_EQUITY_FDIC" hidden="1">"c6733"</definedName>
    <definedName name="IQ_RETAINED_EARNINGS_EQUITY_FFIEC" hidden="1">"c13348"</definedName>
    <definedName name="IQ_RETAINED_EARNINGS_FFIEC" hidden="1">"c12878"</definedName>
    <definedName name="IQ_RETURN_ASSETS" hidden="1">"c1113"</definedName>
    <definedName name="IQ_RETURN_ASSETS_ACT_OR_EST" hidden="1">"c3585"</definedName>
    <definedName name="IQ_RETURN_ASSETS_ACT_OR_EST_REUT" hidden="1">"c5475"</definedName>
    <definedName name="IQ_RETURN_ASSETS_BANK" hidden="1">"c1114"</definedName>
    <definedName name="IQ_RETURN_ASSETS_BROK" hidden="1">"c1115"</definedName>
    <definedName name="IQ_RETURN_ASSETS_EST" hidden="1">"c3529"</definedName>
    <definedName name="IQ_RETURN_ASSETS_EST_REUT" hidden="1">"c3990"</definedName>
    <definedName name="IQ_RETURN_ASSETS_FDIC" hidden="1">"c6730"</definedName>
    <definedName name="IQ_RETURN_ASSETS_FS" hidden="1">"c1116"</definedName>
    <definedName name="IQ_RETURN_ASSETS_GUIDANCE" hidden="1">"c4517"</definedName>
    <definedName name="IQ_RETURN_ASSETS_HIGH_EST" hidden="1">"c3530"</definedName>
    <definedName name="IQ_RETURN_ASSETS_HIGH_EST_REUT" hidden="1">"c3992"</definedName>
    <definedName name="IQ_RETURN_ASSETS_HIGH_GUIDANCE" hidden="1">"c4183"</definedName>
    <definedName name="IQ_RETURN_ASSETS_LOW_EST" hidden="1">"c3531"</definedName>
    <definedName name="IQ_RETURN_ASSETS_LOW_EST_REUT" hidden="1">"c3993"</definedName>
    <definedName name="IQ_RETURN_ASSETS_LOW_GUIDANCE" hidden="1">"c4223"</definedName>
    <definedName name="IQ_RETURN_ASSETS_MEDIAN_EST" hidden="1">"c3532"</definedName>
    <definedName name="IQ_RETURN_ASSETS_MEDIAN_EST_REUT" hidden="1">"c3991"</definedName>
    <definedName name="IQ_RETURN_ASSETS_NUM_EST" hidden="1">"c3527"</definedName>
    <definedName name="IQ_RETURN_ASSETS_NUM_EST_REUT" hidden="1">"c3994"</definedName>
    <definedName name="IQ_RETURN_ASSETS_STDDEV_EST" hidden="1">"c3528"</definedName>
    <definedName name="IQ_RETURN_ASSETS_STDDEV_EST_REUT" hidden="1">"c3995"</definedName>
    <definedName name="IQ_RETURN_CAPITAL" hidden="1">"c1117"</definedName>
    <definedName name="IQ_RETURN_EMBEDDED_VALUE" hidden="1">"c9974"</definedName>
    <definedName name="IQ_RETURN_EQUITY" hidden="1">"c1118"</definedName>
    <definedName name="IQ_RETURN_EQUITY_ACT_OR_EST" hidden="1">"c3586"</definedName>
    <definedName name="IQ_RETURN_EQUITY_ACT_OR_EST_REUT" hidden="1">"c5476"</definedName>
    <definedName name="IQ_RETURN_EQUITY_BANK" hidden="1">"c1119"</definedName>
    <definedName name="IQ_RETURN_EQUITY_BROK" hidden="1">"c1120"</definedName>
    <definedName name="IQ_RETURN_EQUITY_EST" hidden="1">"c3535"</definedName>
    <definedName name="IQ_RETURN_EQUITY_EST_REUT" hidden="1">"c3983"</definedName>
    <definedName name="IQ_RETURN_EQUITY_FDIC" hidden="1">"c6732"</definedName>
    <definedName name="IQ_RETURN_EQUITY_FS" hidden="1">"c1121"</definedName>
    <definedName name="IQ_RETURN_EQUITY_GUIDANCE" hidden="1">"c4518"</definedName>
    <definedName name="IQ_RETURN_EQUITY_HIGH_EST" hidden="1">"c3536"</definedName>
    <definedName name="IQ_RETURN_EQUITY_HIGH_EST_REUT" hidden="1">"c3985"</definedName>
    <definedName name="IQ_RETURN_EQUITY_HIGH_GUIDANCE" hidden="1">"c4182"</definedName>
    <definedName name="IQ_RETURN_EQUITY_LOW_EST" hidden="1">"c3537"</definedName>
    <definedName name="IQ_RETURN_EQUITY_LOW_EST_REUT" hidden="1">"c3986"</definedName>
    <definedName name="IQ_RETURN_EQUITY_LOW_GUIDANCE" hidden="1">"c4222"</definedName>
    <definedName name="IQ_RETURN_EQUITY_MEDIAN_EST" hidden="1">"c3538"</definedName>
    <definedName name="IQ_RETURN_EQUITY_MEDIAN_EST_REUT" hidden="1">"c3984"</definedName>
    <definedName name="IQ_RETURN_EQUITY_NUM_EST" hidden="1">"c3533"</definedName>
    <definedName name="IQ_RETURN_EQUITY_NUM_EST_REUT" hidden="1">"c3987"</definedName>
    <definedName name="IQ_RETURN_EQUITY_STDDEV_EST" hidden="1">"c3534"</definedName>
    <definedName name="IQ_RETURN_EQUITY_STDDEV_EST_REUT" hidden="1">"c3988"</definedName>
    <definedName name="IQ_RETURN_INVESTMENT" hidden="1">"c1421"</definedName>
    <definedName name="IQ_REV" hidden="1">"c1122"</definedName>
    <definedName name="IQ_REV_AP" hidden="1">"c8873"</definedName>
    <definedName name="IQ_REV_AP_ABS" hidden="1">"c8892"</definedName>
    <definedName name="IQ_REV_BEFORE_LL" hidden="1">"c1123"</definedName>
    <definedName name="IQ_REV_NAME_AP" hidden="1">"c8911"</definedName>
    <definedName name="IQ_REV_NAME_AP_ABS" hidden="1">"c8930"</definedName>
    <definedName name="IQ_REV_STDDEV_EST" hidden="1">"c1124"</definedName>
    <definedName name="IQ_REV_STDDEV_EST_CIQ" hidden="1">"c3621"</definedName>
    <definedName name="IQ_REV_STDDEV_EST_REUT" hidden="1">"c3639"</definedName>
    <definedName name="IQ_REV_UTI" hidden="1">"c1125"</definedName>
    <definedName name="IQ_REVALUATION_GAINS_DERIVATIVE_DOM_FFIEC" hidden="1">"c12828"</definedName>
    <definedName name="IQ_REVALUATION_GAINS_DERIVATIVE_FOREIGN_FFIEC" hidden="1">"c12829"</definedName>
    <definedName name="IQ_REVALUATION_GAINS_FDIC" hidden="1">"c6428"</definedName>
    <definedName name="IQ_REVALUATION_LOSSES_FDIC" hidden="1">"c6429"</definedName>
    <definedName name="IQ_REVENUE" hidden="1">"c1422"</definedName>
    <definedName name="IQ_REVENUE_10K" hidden="1">"IQ_REVENUE_10K"</definedName>
    <definedName name="IQ_REVENUE_10Q" hidden="1">"IQ_REVENUE_10Q"</definedName>
    <definedName name="IQ_REVENUE_10Q1" hidden="1">"IQ_REVENUE_10Q1"</definedName>
    <definedName name="IQ_REVENUE_ACT_OR_EST" hidden="1">"c2214"</definedName>
    <definedName name="IQ_REVENUE_ACT_OR_EST_CIQ" hidden="1">"c5059"</definedName>
    <definedName name="IQ_REVENUE_ACT_OR_EST_REUT" hidden="1">"c5461"</definedName>
    <definedName name="IQ_REVENUE_BEFORE_LL_FFIEC" hidden="1">"c13018"</definedName>
    <definedName name="IQ_REVENUE_EST" hidden="1">"c1126"</definedName>
    <definedName name="IQ_REVENUE_EST_1" hidden="1">"IQ_REVENUE_EST_1"</definedName>
    <definedName name="IQ_REVENUE_EST_BOTTOM_UP" hidden="1">"c5488"</definedName>
    <definedName name="IQ_REVENUE_EST_BOTTOM_UP_CIQ" hidden="1">"c12025"</definedName>
    <definedName name="IQ_REVENUE_EST_BOTTOM_UP_REUT" hidden="1">"c5496"</definedName>
    <definedName name="IQ_REVENUE_EST_CIQ" hidden="1">"c3616"</definedName>
    <definedName name="IQ_REVENUE_EST_REUT" hidden="1">"c3634"</definedName>
    <definedName name="IQ_REVENUE_GROWTH_1" hidden="1">"IQ_REVENUE_GROWTH_1"</definedName>
    <definedName name="IQ_REVENUE_GROWTH_2" hidden="1">"IQ_REVENUE_GROWTH_2"</definedName>
    <definedName name="IQ_REVENUE_GUIDANCE" hidden="1">"c4519"</definedName>
    <definedName name="IQ_REVENUE_HIGH_EST" hidden="1">"c1127"</definedName>
    <definedName name="IQ_REVENUE_HIGH_EST_CIQ" hidden="1">"c3618"</definedName>
    <definedName name="IQ_REVENUE_HIGH_EST_REUT" hidden="1">"c3636"</definedName>
    <definedName name="IQ_REVENUE_HIGH_GUIDANCE" hidden="1">"c4169"</definedName>
    <definedName name="IQ_REVENUE_LOW_EST" hidden="1">"c1128"</definedName>
    <definedName name="IQ_REVENUE_LOW_EST_CIQ" hidden="1">"c3619"</definedName>
    <definedName name="IQ_REVENUE_LOW_EST_REUT" hidden="1">"c3637"</definedName>
    <definedName name="IQ_REVENUE_LOW_GUIDANCE" hidden="1">"c4209"</definedName>
    <definedName name="IQ_REVENUE_MEDIAN_EST" hidden="1">"c1662"</definedName>
    <definedName name="IQ_REVENUE_MEDIAN_EST_CIQ" hidden="1">"c3617"</definedName>
    <definedName name="IQ_REVENUE_MEDIAN_EST_REUT" hidden="1">"c3635"</definedName>
    <definedName name="IQ_REVENUE_NUM_EST" hidden="1">"c1129"</definedName>
    <definedName name="IQ_REVENUE_NUM_EST_CIQ" hidden="1">"c3620"</definedName>
    <definedName name="IQ_REVENUE_NUM_EST_REUT" hidden="1">"c3638"</definedName>
    <definedName name="IQ_REVISION_DATE_" hidden="1">39482.4188773148</definedName>
    <definedName name="IQ_REVOLV_OPEN_SECURED_1_4_LL_REC_DOM_FFIEC" hidden="1">"c12902"</definedName>
    <definedName name="IQ_REVOLVING_HOME_EQUITY_LINES_UNUSED_FFIEC" hidden="1">"c13241"</definedName>
    <definedName name="IQ_REVOLVING_LOANS_GROSS_LOANS_FFIEC" hidden="1">"c13398"</definedName>
    <definedName name="IQ_REVOLVING_LOANS_RISK_BASED_FFIEC" hidden="1">"c13419"</definedName>
    <definedName name="IQ_REVOLVING_LOANS_SEC_1_4_DOM_CHARGE_OFFS_FFIEC" hidden="1">"c13168"</definedName>
    <definedName name="IQ_REVOLVING_LOANS_SEC_1_4_DOM_RECOV_FFIEC" hidden="1">"c13190"</definedName>
    <definedName name="IQ_REVOLVING_OPEN_END_1_4_TRADING_DOM_FFIEC" hidden="1">"c12927"</definedName>
    <definedName name="IQ_REVOLVING_SECURED_1_4_DUE_30_89_FFIEC" hidden="1">"c13260"</definedName>
    <definedName name="IQ_REVOLVING_SECURED_1_4_DUE_90_FFIEC" hidden="1">"c13288"</definedName>
    <definedName name="IQ_REVOLVING_SECURED_1_4_NON_ACCRUAL_FFIEC" hidden="1">"c13314"</definedName>
    <definedName name="IQ_RISK_ADJ_BANK_ASSETS" hidden="1">"c2670"</definedName>
    <definedName name="IQ_RISK_WEIGHTED_ASSETS_FDIC" hidden="1">"c6370"</definedName>
    <definedName name="IQ_RSI" hidden="1">"c12704"</definedName>
    <definedName name="IQ_RSI_ADJ" hidden="1">"c12705"</definedName>
    <definedName name="IQ_SALARIED_WORKFORCE" hidden="1">"c7010"</definedName>
    <definedName name="IQ_SALARIED_WORKFORCE_APR" hidden="1">"c7670"</definedName>
    <definedName name="IQ_SALARIED_WORKFORCE_APR_FC" hidden="1">"c8550"</definedName>
    <definedName name="IQ_SALARIED_WORKFORCE_FC" hidden="1">"c7890"</definedName>
    <definedName name="IQ_SALARIED_WORKFORCE_POP" hidden="1">"c7230"</definedName>
    <definedName name="IQ_SALARIED_WORKFORCE_POP_FC" hidden="1">"c8110"</definedName>
    <definedName name="IQ_SALARIED_WORKFORCE_YOY" hidden="1">"c7450"</definedName>
    <definedName name="IQ_SALARIED_WORKFORCE_YOY_FC" hidden="1">"c8330"</definedName>
    <definedName name="IQ_SALARIES_EMPLOYEE_BENEFITS_FFIEC" hidden="1">"c13023"</definedName>
    <definedName name="IQ_SALARY" hidden="1">"c1130"</definedName>
    <definedName name="IQ_SALARY_FDIC" hidden="1">"c6576"</definedName>
    <definedName name="IQ_SALE_COMMON_GROSS_FFIEC" hidden="1">"c12963"</definedName>
    <definedName name="IQ_SALE_CONVERSION_RETIREMENT_STOCK_FDIC" hidden="1">"c6661"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" hidden="1">"c6284"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PREF_FFIEC" hidden="1">"c12961"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_TREASURY_FFIEC" hidden="1">"c12965"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AVINGS_RATE_DISP_INC_PCT" hidden="1">"c7011"</definedName>
    <definedName name="IQ_SAVINGS_RATE_DISP_INC_PCT_FC" hidden="1">"c7891"</definedName>
    <definedName name="IQ_SAVINGS_RATE_DISP_INC_PCT_POP" hidden="1">"c7231"</definedName>
    <definedName name="IQ_SAVINGS_RATE_DISP_INC_PCT_POP_FC" hidden="1">"c8111"</definedName>
    <definedName name="IQ_SAVINGS_RATE_DISP_INC_PCT_YOY" hidden="1">"c7451"</definedName>
    <definedName name="IQ_SAVINGS_RATE_DISP_INC_PCT_YOY_FC" hidden="1">"c8331"</definedName>
    <definedName name="IQ_SAVINGS_RATE_GDP_PCT" hidden="1">"c7012"</definedName>
    <definedName name="IQ_SAVINGS_RATE_GDP_PCT_FC" hidden="1">"c7892"</definedName>
    <definedName name="IQ_SAVINGS_RATE_GDP_PCT_POP" hidden="1">"c7232"</definedName>
    <definedName name="IQ_SAVINGS_RATE_GDP_PCT_POP_FC" hidden="1">"c8112"</definedName>
    <definedName name="IQ_SAVINGS_RATE_GDP_PCT_YOY" hidden="1">"c7452"</definedName>
    <definedName name="IQ_SAVINGS_RATE_GDP_PCT_YOY_FC" hidden="1">"c8332"</definedName>
    <definedName name="IQ_SAVINGS_RATE_PERSONAL_INC_PCT" hidden="1">"c7013"</definedName>
    <definedName name="IQ_SAVINGS_RATE_PERSONAL_INC_PCT_FC" hidden="1">"c7893"</definedName>
    <definedName name="IQ_SAVINGS_RATE_PERSONAL_INC_PCT_POP" hidden="1">"c7233"</definedName>
    <definedName name="IQ_SAVINGS_RATE_PERSONAL_INC_PCT_POP_FC" hidden="1">"c8113"</definedName>
    <definedName name="IQ_SAVINGS_RATE_PERSONAL_INC_PCT_YOY" hidden="1">"c7453"</definedName>
    <definedName name="IQ_SAVINGS_RATE_PERSONAL_INC_PCT_YOY_FC" hidden="1">"c8333"</definedName>
    <definedName name="IQ_SBC_EXPENSE_FFIEC" hidden="1">"c13077"</definedName>
    <definedName name="IQ_SEC_1_4_CONSTRUCTION_DOM_CHARGE_OFFS_FFIEC" hidden="1">"c13165"</definedName>
    <definedName name="IQ_SEC_1_4_CONSTRUCTION_DOM_RECOV_FFIEC" hidden="1">"c13187"</definedName>
    <definedName name="IQ_SEC_BORROWED_OFF_BS_FFIEC" hidden="1">"c13127"</definedName>
    <definedName name="IQ_SEC_FARMLAND_DOM_CHARGE_OFFS_FFIEC" hidden="1">"c13167"</definedName>
    <definedName name="IQ_SEC_FARMLAND_DOM_RECOV_FFIEC" hidden="1">"c13189"</definedName>
    <definedName name="IQ_SEC_FUNDS_PURCHASED_ASSETS_TOT_FFIEC" hidden="1">"c13447"</definedName>
    <definedName name="IQ_SEC_ISSUED_US_AVAIL_SALE_FFIEC" hidden="1">"c12795"</definedName>
    <definedName name="IQ_SEC_ISSUED_US_TRADING_DOM_FFIEC" hidden="1">"c12920"</definedName>
    <definedName name="IQ_SEC_ISSUED_US_TRADING_FFIEC" hidden="1">"c12815"</definedName>
    <definedName name="IQ_SEC_MULTIFAM_DOM_CHARGE_OFFS_FFIEC" hidden="1">"c13171"</definedName>
    <definedName name="IQ_SEC_MULTIFAM_DOM_DUE_30_89_FFIEC" hidden="1">"c13263"</definedName>
    <definedName name="IQ_SEC_MULTIFAM_DOM_DUE_90_FFIEC" hidden="1">"c13291"</definedName>
    <definedName name="IQ_SEC_MULTIFAM_DOM_NON_ACCRUAL_FFIEC" hidden="1">"c13317"</definedName>
    <definedName name="IQ_SEC_MULTIFAM_DOM_RECOV_FFIEC" hidden="1">"c13193"</definedName>
    <definedName name="IQ_SEC_NONFARM_NONRES_CHARGE_OFFS_FFIEC" hidden="1">"c13629"</definedName>
    <definedName name="IQ_SEC_NONFARM_NONRES_DOM_OFFICES_DUE_30_89_FFIEC" hidden="1">"c13264"</definedName>
    <definedName name="IQ_SEC_NONFARM_NONRES_DOM_OFFICES_DUE_90_FFIEC" hidden="1">"c13292"</definedName>
    <definedName name="IQ_SEC_NONFARM_NONRES_DOM_OFFICES_NON_ACCRUAL_FFIEC" hidden="1">"c13318"</definedName>
    <definedName name="IQ_SEC_NONFARM_NONRES_RECOV_FFIEC" hidden="1">"c13633"</definedName>
    <definedName name="IQ_SEC_OTHER_CONSTRUCTION_DOM_CHARGE_OFFS_FFIEC" hidden="1">"c13166"</definedName>
    <definedName name="IQ_SEC_OTHER_CONSTRUCTION_DOM_RECOV_FFIEC" hidden="1">"c13188"</definedName>
    <definedName name="IQ_SEC_OTHER_NONFARM_NONRES_CHARGE_OFFS_FFIEC" hidden="1">"c13173"</definedName>
    <definedName name="IQ_SEC_OTHER_NONFARM_NONRES_DUE_30_89_FFIEC" hidden="1">"c13266"</definedName>
    <definedName name="IQ_SEC_OTHER_NONFARM_NONRES_DUE_90_FFIEC" hidden="1">"c13637"</definedName>
    <definedName name="IQ_SEC_OTHER_NONFARM_NONRES_RECOV_FFIEC" hidden="1">"c13195"</definedName>
    <definedName name="IQ_SEC_OWNER_NONFARM_NONRES_CHARGE_OFFS_FFIEC" hidden="1">"c13172"</definedName>
    <definedName name="IQ_SEC_OWNER_NONFARM_NONRES_DUE_30_89_FFIEC" hidden="1">"c13265"</definedName>
    <definedName name="IQ_SEC_OWNER_NONFARM_NONRES_DUE_90_FFIEC" hidden="1">"c13636"</definedName>
    <definedName name="IQ_SEC_OWNER_NONFARM_NONRES_RECOV_FFIEC" hidden="1">"c13194"</definedName>
    <definedName name="IQ_SEC_PURCHASED_RESELL" hidden="1">"c5513"</definedName>
    <definedName name="IQ_SEC_PURCHASED_RESELL_FFIEC" hidden="1">"c12807"</definedName>
    <definedName name="IQ_SEC_RE_FOREIGN_DUE_30_89_FFIEC" hidden="1">"c13267"</definedName>
    <definedName name="IQ_SEC_RE_FOREIGN_DUE_90_FFIEC" hidden="1">"c13293"</definedName>
    <definedName name="IQ_SEC_RE_FOREIGN_NON_ACCRUAL_FFIEC" hidden="1">"c13319"</definedName>
    <definedName name="IQ_SEC_SOLD_REPURCHASE_FFIEC" hidden="1">"c12857"</definedName>
    <definedName name="IQ_SECUR_RECEIV" hidden="1">"c1151"</definedName>
    <definedName name="IQ_SECURED_1_4_FAMILY_RESIDENTIAL_CHARGE_OFFS_FDIC" hidden="1">"c6590"</definedName>
    <definedName name="IQ_SECURED_1_4_FAMILY_RESIDENTIAL_NET_CHARGE_OFFS_FDIC" hidden="1">"c6628"</definedName>
    <definedName name="IQ_SECURED_1_4_FAMILY_RESIDENTIAL_RECOVERIES_FDIC" hidden="1">"c6609"</definedName>
    <definedName name="IQ_SECURED_DEBT" hidden="1">"c2546"</definedName>
    <definedName name="IQ_SECURED_DEBT_PCT" hidden="1">"c2547"</definedName>
    <definedName name="IQ_SECURED_FARMLAND_CHARGE_OFFS_FDIC" hidden="1">"c6593"</definedName>
    <definedName name="IQ_SECURED_FARMLAND_DOM_DUE_30_89_FFIEC" hidden="1">"c13259"</definedName>
    <definedName name="IQ_SECURED_FARMLAND_DOM_DUE_90_FFIEC" hidden="1">"c13287"</definedName>
    <definedName name="IQ_SECURED_FARMLAND_DOM_NON_ACCRUAL_FFIEC" hidden="1">"c13313"</definedName>
    <definedName name="IQ_SECURED_FARMLAND_LL_REC_DOM_FFIEC" hidden="1">"c12901"</definedName>
    <definedName name="IQ_SECURED_FARMLAND_NET_CHARGE_OFFS_FDIC" hidden="1">"c6631"</definedName>
    <definedName name="IQ_SECURED_FARMLAND_RECOVERIES_FDIC" hidden="1">"c6612"</definedName>
    <definedName name="IQ_SECURED_MULTI_RES_LL_REC_DOM_FFIEC" hidden="1">"c12905"</definedName>
    <definedName name="IQ_SECURED_MULTIFAMILY_RESIDENTIAL_CHARGE_OFFS_FDIC" hidden="1">"c6591"</definedName>
    <definedName name="IQ_SECURED_MULTIFAMILY_RESIDENTIAL_NET_CHARGE_OFFS_FDIC" hidden="1">"c6629"</definedName>
    <definedName name="IQ_SECURED_MULTIFAMILY_RESIDENTIAL_RECOVERIES_FDIC" hidden="1">"c6610"</definedName>
    <definedName name="IQ_SECURED_NONFARM_NONRESIDENTIAL_CHARGE_OFFS_FDIC" hidden="1">"c6592"</definedName>
    <definedName name="IQ_SECURED_NONFARM_NONRESIDENTIAL_NET_CHARGE_OFFS_FDIC" hidden="1">"c6630"</definedName>
    <definedName name="IQ_SECURED_NONFARM_NONRESIDENTIAL_RECOVERIES_FDIC" hidden="1">"c6611"</definedName>
    <definedName name="IQ_SECURITIES_GAINS_FDIC" hidden="1">"c6584"</definedName>
    <definedName name="IQ_SECURITIES_HELD_MATURITY_FFIEC" hidden="1">"c12777"</definedName>
    <definedName name="IQ_SECURITIES_ISSUED_STATES_FDIC" hidden="1">"c6300"</definedName>
    <definedName name="IQ_SECURITIES_ISSUED_US_FFIEC" hidden="1">"c12781"</definedName>
    <definedName name="IQ_SECURITIES_LENT_FDIC" hidden="1">"c6532"</definedName>
    <definedName name="IQ_SECURITIES_LENT_FFIEC" hidden="1">"c13255"</definedName>
    <definedName name="IQ_SECURITIES_QUARTERLY_AVG_FFIEC" hidden="1">"c13079"</definedName>
    <definedName name="IQ_SECURITIES_UNDERWRITING_FDIC" hidden="1">"c6529"</definedName>
    <definedName name="IQ_SECURITIES_UNDERWRITING_UNUSED_FFIEC" hidden="1">"c13247"</definedName>
    <definedName name="IQ_SECURITIZATION_INC_OPERATING_INC_FFIEC" hidden="1">"c13390"</definedName>
    <definedName name="IQ_SECURITIZATION_INCOME_FFIEC" hidden="1">"c13012"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LECTED_FOREIGN_ASSETS_FFIEC" hidden="1">"c13485"</definedName>
    <definedName name="IQ_SEMI_BACKLOG" hidden="1">"c10005"</definedName>
    <definedName name="IQ_SEMI_BACKLOG_AVG_PRICE" hidden="1">"c10006"</definedName>
    <definedName name="IQ_SEMI_BACKLOG_VALUE" hidden="1">"c10007"</definedName>
    <definedName name="IQ_SEMI_BOOK_TO_BILL_RATIO" hidden="1">"c10008"</definedName>
    <definedName name="IQ_SEMI_ORDER_AVG_PRICE" hidden="1">"c10002"</definedName>
    <definedName name="IQ_SEMI_ORDER_VALUE" hidden="1">"c10003"</definedName>
    <definedName name="IQ_SEMI_ORDER_VALUE_CHANGE" hidden="1">"c10004"</definedName>
    <definedName name="IQ_SEMI_ORDERS" hidden="1">"c10001"</definedName>
    <definedName name="IQ_SEMI_WARRANTY_RES_ACQ" hidden="1">"c10011"</definedName>
    <definedName name="IQ_SEMI_WARRANTY_RES_BEG" hidden="1">"c10009"</definedName>
    <definedName name="IQ_SEMI_WARRANTY_RES_END" hidden="1">"c10014"</definedName>
    <definedName name="IQ_SEMI_WARRANTY_RES_ISS" hidden="1">"c10010"</definedName>
    <definedName name="IQ_SEMI_WARRANTY_RES_OTHER" hidden="1">"c10013"</definedName>
    <definedName name="IQ_SEMI_WARRANTY_RES_PAY" hidden="1">"c10012"</definedName>
    <definedName name="IQ_SEP_ACCOUNT_ASSETS_LH_FFIEC" hidden="1">"c13105"</definedName>
    <definedName name="IQ_SEPARATE_ACCOUNT_LIAB_LH_FFIEC" hidden="1">"c13108"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ERVICE_CHARGES_DEPOSIT_ACCOUNTS_DOM_FFIEC" hidden="1">"c13003"</definedName>
    <definedName name="IQ_SERVICE_CHARGES_FDIC" hidden="1">"c6572"</definedName>
    <definedName name="IQ_SERVICE_CHARGES_OPERATING_INC_FFIEC" hidden="1">"c13384"</definedName>
    <definedName name="IQ_SERVICE_FEE" hidden="1">"c8951"</definedName>
    <definedName name="IQ_SERVICING_FEES_FFIEC" hidden="1">"c13011"</definedName>
    <definedName name="IQ_SERVICING_FEES_OPERATING_INC_FFIEC" hidden="1">"c13389"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" hidden="1">"c6265"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_PER_DR" hidden="1">"c204"</definedName>
    <definedName name="IQ_SHARES_PURCHASED_AVERAGE_PRICE" hidden="1">"c5821"</definedName>
    <definedName name="IQ_SHARES_PURCHASED_QUARTER" hidden="1">"c5820"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POSITIONS_FFIEC" hidden="1">"c12859"</definedName>
    <definedName name="IQ_SHORT_TERM_INVEST" hidden="1">"c1425"</definedName>
    <definedName name="IQ_SMALL_INT_BEAR_CD" hidden="1">"c1166"</definedName>
    <definedName name="IQ_SOC_SEC_RECEIPTS_SAAR_USD_APR_FC" hidden="1">"c12005"</definedName>
    <definedName name="IQ_SOC_SEC_RECEIPTS_SAAR_USD_FC" hidden="1">"c12002"</definedName>
    <definedName name="IQ_SOC_SEC_RECEIPTS_SAAR_USD_POP_FC" hidden="1">"c12003"</definedName>
    <definedName name="IQ_SOC_SEC_RECEIPTS_SAAR_USD_YOY_FC" hidden="1">"c12004"</definedName>
    <definedName name="IQ_SOC_SEC_RECEIPTS_USD_APR_FC" hidden="1">"c12001"</definedName>
    <definedName name="IQ_SOC_SEC_RECEIPTS_USD_FC" hidden="1">"c11998"</definedName>
    <definedName name="IQ_SOC_SEC_RECEIPTS_USD_POP_FC" hidden="1">"c11999"</definedName>
    <definedName name="IQ_SOC_SEC_RECEIPTS_USD_YOY_FC" hidden="1">"c12000"</definedName>
    <definedName name="IQ_SOCIAL_SEC_RECEIPTS" hidden="1">"c7015"</definedName>
    <definedName name="IQ_SOCIAL_SEC_RECEIPTS_APR" hidden="1">"c7675"</definedName>
    <definedName name="IQ_SOCIAL_SEC_RECEIPTS_APR_FC" hidden="1">"c8555"</definedName>
    <definedName name="IQ_SOCIAL_SEC_RECEIPTS_FC" hidden="1">"c7895"</definedName>
    <definedName name="IQ_SOCIAL_SEC_RECEIPTS_POP" hidden="1">"c7235"</definedName>
    <definedName name="IQ_SOCIAL_SEC_RECEIPTS_POP_FC" hidden="1">"c8115"</definedName>
    <definedName name="IQ_SOCIAL_SEC_RECEIPTS_SAAR" hidden="1">"c7016"</definedName>
    <definedName name="IQ_SOCIAL_SEC_RECEIPTS_SAAR_APR" hidden="1">"c7676"</definedName>
    <definedName name="IQ_SOCIAL_SEC_RECEIPTS_SAAR_APR_FC" hidden="1">"c8556"</definedName>
    <definedName name="IQ_SOCIAL_SEC_RECEIPTS_SAAR_FC" hidden="1">"c7896"</definedName>
    <definedName name="IQ_SOCIAL_SEC_RECEIPTS_SAAR_POP" hidden="1">"c7236"</definedName>
    <definedName name="IQ_SOCIAL_SEC_RECEIPTS_SAAR_POP_FC" hidden="1">"c8116"</definedName>
    <definedName name="IQ_SOCIAL_SEC_RECEIPTS_SAAR_YOY" hidden="1">"c7456"</definedName>
    <definedName name="IQ_SOCIAL_SEC_RECEIPTS_SAAR_YOY_FC" hidden="1">"c8336"</definedName>
    <definedName name="IQ_SOCIAL_SEC_RECEIPTS_YOY" hidden="1">"c7455"</definedName>
    <definedName name="IQ_SOCIAL_SEC_RECEIPTS_YOY_FC" hidden="1">"c8335"</definedName>
    <definedName name="IQ_SOFTWARE" hidden="1">"c1167"</definedName>
    <definedName name="IQ_SOURCE" hidden="1">"c1168"</definedName>
    <definedName name="IQ_SP" hidden="1">"c2171"</definedName>
    <definedName name="IQ_SP_BANK" hidden="1">"c2637"</definedName>
    <definedName name="IQ_SP_BANK_ACTION" hidden="1">"c2636"</definedName>
    <definedName name="IQ_SP_BANK_DATE" hidden="1">"c2635"</definedName>
    <definedName name="IQ_SP_DATE" hidden="1">"c2172"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NSR_ACTION_LT" hidden="1">"c13616"</definedName>
    <definedName name="IQ_SP_ISSUE_NSR_ACTION_ST" hidden="1">"c13622"</definedName>
    <definedName name="IQ_SP_ISSUE_NSR_DATE_LT" hidden="1">"c13615"</definedName>
    <definedName name="IQ_SP_ISSUE_NSR_DATE_ST" hidden="1">"c13621"</definedName>
    <definedName name="IQ_SP_ISSUE_NSR_LT" hidden="1">"c13614"</definedName>
    <definedName name="IQ_SP_ISSUE_NSR_ST" hidden="1">"c13620"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NSR_ACTION_LT" hidden="1">"c13613"</definedName>
    <definedName name="IQ_SP_NSR_ACTION_ST" hidden="1">"c13619"</definedName>
    <definedName name="IQ_SP_NSR_DATE_LT" hidden="1">"c13612"</definedName>
    <definedName name="IQ_SP_NSR_DATE_ST" hidden="1">"c13618"</definedName>
    <definedName name="IQ_SP_NSR_LT" hidden="1">"c13611"</definedName>
    <definedName name="IQ_SP_NSR_ST" hidden="1">"c13617"</definedName>
    <definedName name="IQ_SP_OUTLOOK_WATCH" hidden="1">"c2639"</definedName>
    <definedName name="IQ_SP_OUTLOOK_WATCH_DATE" hidden="1">"c2638"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" hidden="1">"c6266"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Q_FT_LEASED_GROSS_CONSOL" hidden="1">"c8820"</definedName>
    <definedName name="IQ_SQ_FT_LEASED_GROSS_MANAGED" hidden="1">"c8822"</definedName>
    <definedName name="IQ_SQ_FT_LEASED_GROSS_OTHER" hidden="1">"c8823"</definedName>
    <definedName name="IQ_SQ_FT_LEASED_GROSS_TOTAL" hidden="1">"c8824"</definedName>
    <definedName name="IQ_SQ_FT_LEASED_GROSS_UNCONSOL" hidden="1">"c8821"</definedName>
    <definedName name="IQ_SQ_FT_LEASED_NET_CONSOL" hidden="1">"c8825"</definedName>
    <definedName name="IQ_SQ_FT_LEASED_NET_MANAGED" hidden="1">"c8827"</definedName>
    <definedName name="IQ_SQ_FT_LEASED_NET_OTHER" hidden="1">"c8828"</definedName>
    <definedName name="IQ_SQ_FT_LEASED_NET_TOTAL" hidden="1">"c8829"</definedName>
    <definedName name="IQ_SQ_FT_LEASED_NET_UNCONSOL" hidden="1">"c8826"</definedName>
    <definedName name="IQ_SQ_METER_LEASED_GROSS_CONSOL" hidden="1">"c8830"</definedName>
    <definedName name="IQ_SQ_METER_LEASED_GROSS_MANAGED" hidden="1">"c8832"</definedName>
    <definedName name="IQ_SQ_METER_LEASED_GROSS_OTHER" hidden="1">"c8833"</definedName>
    <definedName name="IQ_SQ_METER_LEASED_GROSS_TOTAL" hidden="1">"c8834"</definedName>
    <definedName name="IQ_SQ_METER_LEASED_GROSS_UNCONSOL" hidden="1">"c8831"</definedName>
    <definedName name="IQ_SQ_METER_LEASED_NET_CONSOL" hidden="1">"c8835"</definedName>
    <definedName name="IQ_SQ_METER_LEASED_NET_MANAGED" hidden="1">"c8837"</definedName>
    <definedName name="IQ_SQ_METER_LEASED_NET_OTHER" hidden="1">"c8838"</definedName>
    <definedName name="IQ_SQ_METER_LEASED_NET_TOTAL" hidden="1">"c8839"</definedName>
    <definedName name="IQ_SQ_METER_LEASED_NET_UNCONSOL" hidden="1">"c8836"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" hidden="1">"c6267"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" hidden="1">"c6268"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" hidden="1">"c6269"</definedName>
    <definedName name="IQ_ST_DEBT_REPAID_REIT" hidden="1">"c1194"</definedName>
    <definedName name="IQ_ST_DEBT_REPAID_UTI" hidden="1">"c1195"</definedName>
    <definedName name="IQ_ST_DEBT_UTI" hidden="1">"c1196"</definedName>
    <definedName name="IQ_ST_FHLB_DEBT" hidden="1">"c5658"</definedName>
    <definedName name="IQ_ST_INVEST" hidden="1">"c1197"</definedName>
    <definedName name="IQ_ST_INVEST_ASSETS_TOT_FFIEC" hidden="1">"c13438"</definedName>
    <definedName name="IQ_ST_INVEST_ST_NONCORE_FUNDING_FFIEC" hidden="1">"c13338"</definedName>
    <definedName name="IQ_ST_INVEST_UTI" hidden="1">"c1198"</definedName>
    <definedName name="IQ_ST_NOTE_RECEIV" hidden="1">"c1199"</definedName>
    <definedName name="IQ_STATE" hidden="1">"c1200"</definedName>
    <definedName name="IQ_STATE_LOCAL_SPENDING_SAAR" hidden="1">"c7017"</definedName>
    <definedName name="IQ_STATE_LOCAL_SPENDING_SAAR_APR" hidden="1">"c7677"</definedName>
    <definedName name="IQ_STATE_LOCAL_SPENDING_SAAR_APR_FC" hidden="1">"c8557"</definedName>
    <definedName name="IQ_STATE_LOCAL_SPENDING_SAAR_FC" hidden="1">"c7897"</definedName>
    <definedName name="IQ_STATE_LOCAL_SPENDING_SAAR_POP" hidden="1">"c7237"</definedName>
    <definedName name="IQ_STATE_LOCAL_SPENDING_SAAR_POP_FC" hidden="1">"c8117"</definedName>
    <definedName name="IQ_STATE_LOCAL_SPENDING_SAAR_YOY" hidden="1">"c7457"</definedName>
    <definedName name="IQ_STATE_LOCAL_SPENDING_SAAR_YOY_FC" hidden="1">"c8337"</definedName>
    <definedName name="IQ_STATES_NONTRANSACTION_ACCOUNTS_FDIC" hidden="1">"c6547"</definedName>
    <definedName name="IQ_STATES_TOTAL_DEPOSITS_FDIC" hidden="1">"c6473"</definedName>
    <definedName name="IQ_STATES_TRANSACTION_ACCOUNTS_FDIC" hidden="1">"c6539"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EST" hidden="1">"c4520"</definedName>
    <definedName name="IQ_STOCK_BASED_GA" hidden="1">"c2993"</definedName>
    <definedName name="IQ_STOCK_BASED_HIGH_EST" hidden="1">"c4521"</definedName>
    <definedName name="IQ_STOCK_BASED_LOW_EST" hidden="1">"c4522"</definedName>
    <definedName name="IQ_STOCK_BASED_MEDIAN_EST" hidden="1">"c4523"</definedName>
    <definedName name="IQ_STOCK_BASED_NUM_EST" hidden="1">"c4524"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STDDEV_EST" hidden="1">"c4525"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ATEGY_NOTE" hidden="1">"c6791"</definedName>
    <definedName name="IQ_STRIKE_PRICE_ISSUED" hidden="1">"c1645"</definedName>
    <definedName name="IQ_STRIKE_PRICE_OS" hidden="1">"c1646"</definedName>
    <definedName name="IQ_STRIPS_RECEIVABLE_MORTGAGE_LOANS_FFIEC" hidden="1">"c12844"</definedName>
    <definedName name="IQ_STRIPS_RECEIVABLE_OTHER_FFIEC" hidden="1">"c12845"</definedName>
    <definedName name="IQ_STRUCT_FIN_CLASS" hidden="1">"c8950"</definedName>
    <definedName name="IQ_STRUCT_FIN_SERIES" hidden="1">"c8956"</definedName>
    <definedName name="IQ_STRUCTURED_NOTES_INVEST_SECURITIES_FFIEC" hidden="1">"c13468"</definedName>
    <definedName name="IQ_STRUCTURING_NOTES_TIER_1_FFIEC" hidden="1">"c13344"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FDIC" hidden="1">"c6346"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UB_NOTES_DEBENTURES_FFIEC" hidden="1">"c12867"</definedName>
    <definedName name="IQ_SUB_NOTES_PAYABLE_UNCONSOLIDATED_TRUSTS_FFIEC" hidden="1">"c12868"</definedName>
    <definedName name="IQ_SUPPLIES_FFIEC" hidden="1">"c13050"</definedName>
    <definedName name="IQ_SURPLUS_FDIC" hidden="1">"c6351"</definedName>
    <definedName name="IQ_SURPLUS_FFIEC" hidden="1">"c12877"</definedName>
    <definedName name="IQ_SVA" hidden="1">"c1214"</definedName>
    <definedName name="IQ_TANGIBLE_EQUITY_ASSETS_FFIEC" hidden="1">"c13346"</definedName>
    <definedName name="IQ_TANGIBLE_TIER_1_LEVERAGE_FFIEC" hidden="1">"c13345"</definedName>
    <definedName name="IQ_TARGET_PRICE_NUM" hidden="1">"c1653"</definedName>
    <definedName name="IQ_TARGET_PRICE_NUM_CIQ" hidden="1">"c4661"</definedName>
    <definedName name="IQ_TARGET_PRICE_NUM_REUT" hidden="1">"c5319"</definedName>
    <definedName name="IQ_TARGET_PRICE_STDDEV" hidden="1">"c1654"</definedName>
    <definedName name="IQ_TARGET_PRICE_STDDEV_CIQ" hidden="1">"c4662"</definedName>
    <definedName name="IQ_TARGET_PRICE_STDDEV_REUT" hidden="1">"c5320"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AX_OTHER_EXP_AP" hidden="1">"c8878"</definedName>
    <definedName name="IQ_TAX_OTHER_EXP_AP_ABS" hidden="1">"c8897"</definedName>
    <definedName name="IQ_TAX_OTHER_EXP_NAME_AP" hidden="1">"c8916"</definedName>
    <definedName name="IQ_TAX_OTHER_EXP_NAME_AP_ABS" hidden="1">"c8935"</definedName>
    <definedName name="IQ_TAXES_ADJ_NOI_FFIEC" hidden="1">"c13395"</definedName>
    <definedName name="IQ_TAXES_NOI_FFIEC" hidden="1">"c13394"</definedName>
    <definedName name="IQ_TAXES_TE_AVG_ASSETS_FFIEC" hidden="1">"c13366"</definedName>
    <definedName name="IQ_TBV" hidden="1">"c1906"</definedName>
    <definedName name="IQ_TBV_10YR_ANN_CAGR" hidden="1">"c6169"</definedName>
    <definedName name="IQ_TBV_10YR_ANN_GROWTH" hidden="1">"c1936"</definedName>
    <definedName name="IQ_TBV_1YR_ANN_GROWTH" hidden="1">"c1931"</definedName>
    <definedName name="IQ_TBV_2YR_ANN_CAGR" hidden="1">"c6165"</definedName>
    <definedName name="IQ_TBV_2YR_ANN_GROWTH" hidden="1">"c1932"</definedName>
    <definedName name="IQ_TBV_3YR_ANN_CAGR" hidden="1">"c6166"</definedName>
    <definedName name="IQ_TBV_3YR_ANN_GROWTH" hidden="1">"c1933"</definedName>
    <definedName name="IQ_TBV_5YR_ANN_CAGR" hidden="1">"c6167"</definedName>
    <definedName name="IQ_TBV_5YR_ANN_GROWTH" hidden="1">"c1934"</definedName>
    <definedName name="IQ_TBV_7YR_ANN_CAGR" hidden="1">"c6168"</definedName>
    <definedName name="IQ_TBV_7YR_ANN_GROWTH" hidden="1">"c1935"</definedName>
    <definedName name="IQ_TBV_EXCL_FFIEC" hidden="1">"c13516"</definedName>
    <definedName name="IQ_TBV_SHARE" hidden="1">"c1217"</definedName>
    <definedName name="IQ_TELECOM_FFIEC" hidden="1">"c13057"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_FWD_REUT" hidden="1">"c4054"</definedName>
    <definedName name="IQ_TEV_EBITDA" hidden="1">"c1222"</definedName>
    <definedName name="IQ_TEV_EBITDA_AVG" hidden="1">"c1223"</definedName>
    <definedName name="IQ_TEV_EBITDA_FWD" hidden="1">"c1224"</definedName>
    <definedName name="IQ_TEV_EBITDA_FWD_CIQ" hidden="1">"c4043"</definedName>
    <definedName name="IQ_TEV_EBITDA_FWD_REUT" hidden="1">"c4050"</definedName>
    <definedName name="IQ_TEV_EMPLOYEE_AVG" hidden="1">"c1225"</definedName>
    <definedName name="IQ_TEV_EST" hidden="1">"c4526"</definedName>
    <definedName name="IQ_TEV_HIGH_EST" hidden="1">"c4527"</definedName>
    <definedName name="IQ_TEV_LOW_EST" hidden="1">"c4528"</definedName>
    <definedName name="IQ_TEV_MEDIAN_EST" hidden="1">"c4529"</definedName>
    <definedName name="IQ_TEV_NUM_EST" hidden="1">"c4530"</definedName>
    <definedName name="IQ_TEV_STDDEV_EST" hidden="1">"c4531"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CIQ" hidden="1">"c4044"</definedName>
    <definedName name="IQ_TEV_TOTAL_REV_FWD_REUT" hidden="1">"c4051"</definedName>
    <definedName name="IQ_TEV_UFCF" hidden="1">"c2208"</definedName>
    <definedName name="IQ_THREE_MONTHS_FIXED_AND_FLOATING_FDIC" hidden="1">"c6419"</definedName>
    <definedName name="IQ_THREE_MONTHS_MORTGAGE_PASS_THROUGHS_FDIC" hidden="1">"c6411"</definedName>
    <definedName name="IQ_THREE_YEAR_FIXED_AND_FLOATING_RATE_FDIC" hidden="1">"c6421"</definedName>
    <definedName name="IQ_THREE_YEAR_MORTGAGE_PASS_THROUGHS_FDIC" hidden="1">"c6413"</definedName>
    <definedName name="IQ_THREE_YEARS_LESS_FDIC" hidden="1">"c6417"</definedName>
    <definedName name="IQ_TIER_1_CAPITAL_BEFORE_CHARGES_T1_FFIEC" hidden="1">"c13139"</definedName>
    <definedName name="IQ_TIER_1_CAPITAL_FFIEC" hidden="1">"c13143"</definedName>
    <definedName name="IQ_TIER_1_LEVERAGE_RATIO_FFIEC" hidden="1">"c13160"</definedName>
    <definedName name="IQ_TIER_1_RISK_BASED_CAPITAL_RATIO_FDIC" hidden="1">"c6746"</definedName>
    <definedName name="IQ_TIER_1_RISK_BASED_CAPITAL_RATIO_FFIEC" hidden="1">"c13161"</definedName>
    <definedName name="IQ_TIER_2_CAPITAL_FFIEC" hidden="1">"c13149"</definedName>
    <definedName name="IQ_TIER_3_CAPITAL_ALLOCATED_MARKET_RISK_FFIEC" hidden="1">"c13151"</definedName>
    <definedName name="IQ_TIER_ONE_CAPITAL" hidden="1">"c2667"</definedName>
    <definedName name="IQ_TIER_ONE_FDIC" hidden="1">"c6369"</definedName>
    <definedName name="IQ_TIER_ONE_RATIO" hidden="1">"c1229"</definedName>
    <definedName name="IQ_TIER_TWO_CAPITAL" hidden="1">"c2669"</definedName>
    <definedName name="IQ_TIME_DEP" hidden="1">"c1230"</definedName>
    <definedName name="IQ_TIME_DEPOSITS_LESS_100K_OTHER_INSTITUTIONS_FFIEC" hidden="1">"c12953"</definedName>
    <definedName name="IQ_TIME_DEPOSITS_LESS_THAN_100K_FDIC" hidden="1">"c6465"</definedName>
    <definedName name="IQ_TIME_DEPOSITS_MORE_100K_OTHER_INSTITUTIONS_FFIEC" hidden="1">"c12954"</definedName>
    <definedName name="IQ_TIME_DEPOSITS_MORE_THAN_100K_FDIC" hidden="1">"c6470"</definedName>
    <definedName name="IQ_TODAY" hidden="1">0</definedName>
    <definedName name="IQ_TOT_ADJ_INC" hidden="1">"c1616"</definedName>
    <definedName name="IQ_TOTAL_AR_BR" hidden="1">"c1231"</definedName>
    <definedName name="IQ_TOTAL_AR_RE" hidden="1">"c6270"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CAGR" hidden="1">"c6140"</definedName>
    <definedName name="IQ_TOTAL_ASSETS_10YR_ANN_GROWTH" hidden="1">"c1235"</definedName>
    <definedName name="IQ_TOTAL_ASSETS_1YR_ANN_GROWTH" hidden="1">"c1236"</definedName>
    <definedName name="IQ_TOTAL_ASSETS_2YR_ANN_CAGR" hidden="1">"c6141"</definedName>
    <definedName name="IQ_TOTAL_ASSETS_2YR_ANN_GROWTH" hidden="1">"c1237"</definedName>
    <definedName name="IQ_TOTAL_ASSETS_3YR_ANN_CAGR" hidden="1">"c6142"</definedName>
    <definedName name="IQ_TOTAL_ASSETS_3YR_ANN_GROWTH" hidden="1">"c1238"</definedName>
    <definedName name="IQ_TOTAL_ASSETS_5YR_ANN_CAGR" hidden="1">"c6143"</definedName>
    <definedName name="IQ_TOTAL_ASSETS_5YR_ANN_GROWTH" hidden="1">"c1239"</definedName>
    <definedName name="IQ_TOTAL_ASSETS_7YR_ANN_CAGR" hidden="1">"c6144"</definedName>
    <definedName name="IQ_TOTAL_ASSETS_7YR_ANN_GROWTH" hidden="1">"c1240"</definedName>
    <definedName name="IQ_TOTAL_ASSETS_BNK_SUBTOTAL_AP" hidden="1">"c13644"</definedName>
    <definedName name="IQ_TOTAL_ASSETS_FDIC" hidden="1">"c6339"</definedName>
    <definedName name="IQ_TOTAL_ASSETS_FFIEC" hidden="1">"c12849"</definedName>
    <definedName name="IQ_TOTAL_ASSETS_LH_FFIEC" hidden="1">"c13106"</definedName>
    <definedName name="IQ_TOTAL_ASSETS_PC_FFIEC" hidden="1">"c13099"</definedName>
    <definedName name="IQ_TOTAL_ASSETS_SUBTOTAL_AP" hidden="1">"c8985"</definedName>
    <definedName name="IQ_TOTAL_ATTRIB_ORE_RESOURCES_ALUM" hidden="1">"c9241"</definedName>
    <definedName name="IQ_TOTAL_ATTRIB_ORE_RESOURCES_COP" hidden="1">"c9185"</definedName>
    <definedName name="IQ_TOTAL_ATTRIB_ORE_RESOURCES_DIAM" hidden="1">"c9665"</definedName>
    <definedName name="IQ_TOTAL_ATTRIB_ORE_RESOURCES_GOLD" hidden="1">"c9026"</definedName>
    <definedName name="IQ_TOTAL_ATTRIB_ORE_RESOURCES_IRON" hidden="1">"c9400"</definedName>
    <definedName name="IQ_TOTAL_ATTRIB_ORE_RESOURCES_LEAD" hidden="1">"c9453"</definedName>
    <definedName name="IQ_TOTAL_ATTRIB_ORE_RESOURCES_MANG" hidden="1">"c9506"</definedName>
    <definedName name="IQ_TOTAL_ATTRIB_ORE_RESOURCES_MOLYB" hidden="1">"c9718"</definedName>
    <definedName name="IQ_TOTAL_ATTRIB_ORE_RESOURCES_NICK" hidden="1">"c9294"</definedName>
    <definedName name="IQ_TOTAL_ATTRIB_ORE_RESOURCES_PLAT" hidden="1">"c9132"</definedName>
    <definedName name="IQ_TOTAL_ATTRIB_ORE_RESOURCES_SILVER" hidden="1">"c9079"</definedName>
    <definedName name="IQ_TOTAL_ATTRIB_ORE_RESOURCES_TITAN" hidden="1">"c9559"</definedName>
    <definedName name="IQ_TOTAL_ATTRIB_ORE_RESOURCES_URAN" hidden="1">"c9612"</definedName>
    <definedName name="IQ_TOTAL_ATTRIB_ORE_RESOURCES_ZINC" hidden="1">"c9347"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BEDS" hidden="1">"c8785"</definedName>
    <definedName name="IQ_TOTAL_CA" hidden="1">"c1243"</definedName>
    <definedName name="IQ_TOTAL_CA_SUBTOTAL_AP" hidden="1">"c8986"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ARGE_OFFS_FDIC" hidden="1">"c6603"</definedName>
    <definedName name="IQ_TOTAL_CHURN" hidden="1">"c2122"</definedName>
    <definedName name="IQ_TOTAL_CL" hidden="1">"c1245"</definedName>
    <definedName name="IQ_TOTAL_CL_SUBTOTAL_AP" hidden="1">"c8987"</definedName>
    <definedName name="IQ_TOTAL_COAL_PRODUCTION_COAL" hidden="1">"c9824"</definedName>
    <definedName name="IQ_TOTAL_COMMON" hidden="1">"c1411"</definedName>
    <definedName name="IQ_TOTAL_COMMON_EQUITY" hidden="1">"c1246"</definedName>
    <definedName name="IQ_TOTAL_COMMON_SHARES_OUT_FFIEC" hidden="1">"c12955"</definedName>
    <definedName name="IQ_TOTAL_CONSTRUCTION_LL_REC_DOM_FFIEC" hidden="1">"c13515"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CURRENT" hidden="1">"c6190"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ST" hidden="1">"c4532"</definedName>
    <definedName name="IQ_TOTAL_DEBT_EXCL_FIN" hidden="1">"c2937"</definedName>
    <definedName name="IQ_TOTAL_DEBT_GUIDANCE" hidden="1">"c4533"</definedName>
    <definedName name="IQ_TOTAL_DEBT_HIGH_EST" hidden="1">"c4534"</definedName>
    <definedName name="IQ_TOTAL_DEBT_HIGH_GUIDANCE" hidden="1">"c4196"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" hidden="1">"c6271"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LOW_EST" hidden="1">"c4535"</definedName>
    <definedName name="IQ_TOTAL_DEBT_LOW_GUIDANCE" hidden="1">"c4236"</definedName>
    <definedName name="IQ_TOTAL_DEBT_MEDIAN_EST" hidden="1">"c4536"</definedName>
    <definedName name="IQ_TOTAL_DEBT_NON_CURRENT" hidden="1">"c6191"</definedName>
    <definedName name="IQ_TOTAL_DEBT_NUM_EST" hidden="1">"c4537"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" hidden="1">"c6272"</definedName>
    <definedName name="IQ_TOTAL_DEBT_REPAID_REIT" hidden="1">"c1263"</definedName>
    <definedName name="IQ_TOTAL_DEBT_REPAID_UTI" hidden="1">"c1264"</definedName>
    <definedName name="IQ_TOTAL_DEBT_SECURITIES_FDIC" hidden="1">"c6410"</definedName>
    <definedName name="IQ_TOTAL_DEBT_STDDEV_EST" hidden="1">"c4538"</definedName>
    <definedName name="IQ_TOTAL_DEPOSITS" hidden="1">"c1265"</definedName>
    <definedName name="IQ_TOTAL_DEPOSITS_FDIC" hidden="1">"c6342"</definedName>
    <definedName name="IQ_TOTAL_DEPOSITS_FFIEC" hidden="1">"c13623"</definedName>
    <definedName name="IQ_TOTAL_DIV_PAID_CF" hidden="1">"c1266"</definedName>
    <definedName name="IQ_TOTAL_EMPLOYEE" hidden="1">"c2141"</definedName>
    <definedName name="IQ_TOTAL_EMPLOYEES" hidden="1">"c1522"</definedName>
    <definedName name="IQ_TOTAL_EMPLOYEES_FDIC" hidden="1">"c6355"</definedName>
    <definedName name="IQ_TOTAL_EQUITY" hidden="1">"c1267"</definedName>
    <definedName name="IQ_TOTAL_EQUITY_10YR_ANN_CAGR" hidden="1">"c6145"</definedName>
    <definedName name="IQ_TOTAL_EQUITY_10YR_ANN_GROWTH" hidden="1">"c1268"</definedName>
    <definedName name="IQ_TOTAL_EQUITY_1YR_ANN_GROWTH" hidden="1">"c1269"</definedName>
    <definedName name="IQ_TOTAL_EQUITY_2YR_ANN_CAGR" hidden="1">"c6146"</definedName>
    <definedName name="IQ_TOTAL_EQUITY_2YR_ANN_GROWTH" hidden="1">"c1270"</definedName>
    <definedName name="IQ_TOTAL_EQUITY_3YR_ANN_CAGR" hidden="1">"c6147"</definedName>
    <definedName name="IQ_TOTAL_EQUITY_3YR_ANN_GROWTH" hidden="1">"c1271"</definedName>
    <definedName name="IQ_TOTAL_EQUITY_5YR_ANN_CAGR" hidden="1">"c6148"</definedName>
    <definedName name="IQ_TOTAL_EQUITY_5YR_ANN_GROWTH" hidden="1">"c1272"</definedName>
    <definedName name="IQ_TOTAL_EQUITY_7YR_ANN_CAGR" hidden="1">"c6149"</definedName>
    <definedName name="IQ_TOTAL_EQUITY_7YR_ANN_GROWTH" hidden="1">"c1273"</definedName>
    <definedName name="IQ_TOTAL_EQUITY_ALLOWANCE_TOTAL_LOANS" hidden="1">"c1274"</definedName>
    <definedName name="IQ_TOTAL_EQUITY_CAPITAL_T1_FFIEC" hidden="1">"c13130"</definedName>
    <definedName name="IQ_TOTAL_EQUITY_FFIEC" hidden="1">"c12881"</definedName>
    <definedName name="IQ_TOTAL_EQUITY_LH_FFIEC" hidden="1">"c13109"</definedName>
    <definedName name="IQ_TOTAL_EQUITY_PC_FFIEC" hidden="1">"c13102"</definedName>
    <definedName name="IQ_TOTAL_EQUITY_SUBTOTAL_AP" hidden="1">"c8989"</definedName>
    <definedName name="IQ_TOTAL_INT_EXPENSE_FFIEC" hidden="1">"c13000"</definedName>
    <definedName name="IQ_TOTAL_INT_INCOME_FFIEC" hidden="1">"c12989"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EQUITY_FDIC" hidden="1">"c6354"</definedName>
    <definedName name="IQ_TOTAL_LIAB_EQUITY_SUBTOTAL_AP" hidden="1">"c8988"</definedName>
    <definedName name="IQ_TOTAL_LIAB_FIN" hidden="1">"c1280"</definedName>
    <definedName name="IQ_TOTAL_LIAB_INS" hidden="1">"c1281"</definedName>
    <definedName name="IQ_TOTAL_LIAB_RE" hidden="1">"c6273"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IABILITIES_EQUITY_FFIEC" hidden="1">"c12882"</definedName>
    <definedName name="IQ_TOTAL_LIABILITIES_FDIC" hidden="1">"c6348"</definedName>
    <definedName name="IQ_TOTAL_LIABILITIES_FFIEC" hidden="1">"c12873"</definedName>
    <definedName name="IQ_TOTAL_LL_REC_DOM_FFIEC" hidden="1">"c12917"</definedName>
    <definedName name="IQ_TOTAL_LL_REC_FFIEC" hidden="1">"c12898"</definedName>
    <definedName name="IQ_TOTAL_LOANS" hidden="1">"c5653"</definedName>
    <definedName name="IQ_TOTAL_LOANS_LEASES_CHARGE_OFFS_FFIEC" hidden="1">"c13186"</definedName>
    <definedName name="IQ_TOTAL_LOANS_LEASES_DUE_30_89_FFIEC" hidden="1">"c13280"</definedName>
    <definedName name="IQ_TOTAL_LOANS_LEASES_DUE_90_FFIEC" hidden="1">"c13306"</definedName>
    <definedName name="IQ_TOTAL_LOANS_LEASES_RECOV_FFIEC" hidden="1">"c13208"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" hidden="1">"c6274"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ABLE_END_OS" hidden="1">"c5819"</definedName>
    <definedName name="IQ_TOTAL_OPTIONS_EXERCISED" hidden="1">"c2695"</definedName>
    <definedName name="IQ_TOTAL_OPTIONS_GRANTED" hidden="1">"c2694"</definedName>
    <definedName name="IQ_TOTAL_ORE_RESOURCES_ALUM" hidden="1">"c9230"</definedName>
    <definedName name="IQ_TOTAL_ORE_RESOURCES_COP" hidden="1">"c9174"</definedName>
    <definedName name="IQ_TOTAL_ORE_RESOURCES_DIAM" hidden="1">"c9654"</definedName>
    <definedName name="IQ_TOTAL_ORE_RESOURCES_GOLD" hidden="1">"c9015"</definedName>
    <definedName name="IQ_TOTAL_ORE_RESOURCES_IRON" hidden="1">"c9389"</definedName>
    <definedName name="IQ_TOTAL_ORE_RESOURCES_LEAD" hidden="1">"c9442"</definedName>
    <definedName name="IQ_TOTAL_ORE_RESOURCES_MANG" hidden="1">"c9495"</definedName>
    <definedName name="IQ_TOTAL_ORE_RESOURCES_MOLYB" hidden="1">"c9707"</definedName>
    <definedName name="IQ_TOTAL_ORE_RESOURCES_NICK" hidden="1">"c9283"</definedName>
    <definedName name="IQ_TOTAL_ORE_RESOURCES_PLAT" hidden="1">"c9121"</definedName>
    <definedName name="IQ_TOTAL_ORE_RESOURCES_SILVER" hidden="1">"c9068"</definedName>
    <definedName name="IQ_TOTAL_ORE_RESOURCES_TITAN" hidden="1">"c9548"</definedName>
    <definedName name="IQ_TOTAL_ORE_RESOURCES_URAN" hidden="1">"c9601"</definedName>
    <definedName name="IQ_TOTAL_ORE_RESOURCES_ZINC" hidden="1">"c9336"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ENSION_OBLIGATION" hidden="1">"c1292"</definedName>
    <definedName name="IQ_TOTAL_PRINCIPAL" hidden="1">"c2509"</definedName>
    <definedName name="IQ_TOTAL_PRINCIPAL_PCT" hidden="1">"c2510"</definedName>
    <definedName name="IQ_TOTAL_PROP" hidden="1">"c8765"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COV_ATTRIB_RESOURCES_ALUM" hidden="1">"c9246"</definedName>
    <definedName name="IQ_TOTAL_RECOV_ATTRIB_RESOURCES_COAL" hidden="1">"c9820"</definedName>
    <definedName name="IQ_TOTAL_RECOV_ATTRIB_RESOURCES_COP" hidden="1">"c9190"</definedName>
    <definedName name="IQ_TOTAL_RECOV_ATTRIB_RESOURCES_DIAM" hidden="1">"c9670"</definedName>
    <definedName name="IQ_TOTAL_RECOV_ATTRIB_RESOURCES_GOLD" hidden="1">"c9031"</definedName>
    <definedName name="IQ_TOTAL_RECOV_ATTRIB_RESOURCES_IRON" hidden="1">"c9405"</definedName>
    <definedName name="IQ_TOTAL_RECOV_ATTRIB_RESOURCES_LEAD" hidden="1">"c9458"</definedName>
    <definedName name="IQ_TOTAL_RECOV_ATTRIB_RESOURCES_MANG" hidden="1">"c9511"</definedName>
    <definedName name="IQ_TOTAL_RECOV_ATTRIB_RESOURCES_MET_COAL" hidden="1">"c9760"</definedName>
    <definedName name="IQ_TOTAL_RECOV_ATTRIB_RESOURCES_MOLYB" hidden="1">"c9723"</definedName>
    <definedName name="IQ_TOTAL_RECOV_ATTRIB_RESOURCES_NICK" hidden="1">"c9299"</definedName>
    <definedName name="IQ_TOTAL_RECOV_ATTRIB_RESOURCES_PLAT" hidden="1">"c9137"</definedName>
    <definedName name="IQ_TOTAL_RECOV_ATTRIB_RESOURCES_SILVER" hidden="1">"c9084"</definedName>
    <definedName name="IQ_TOTAL_RECOV_ATTRIB_RESOURCES_STEAM" hidden="1">"c9790"</definedName>
    <definedName name="IQ_TOTAL_RECOV_ATTRIB_RESOURCES_TITAN" hidden="1">"c9564"</definedName>
    <definedName name="IQ_TOTAL_RECOV_ATTRIB_RESOURCES_URAN" hidden="1">"c9617"</definedName>
    <definedName name="IQ_TOTAL_RECOV_ATTRIB_RESOURCES_ZINC" hidden="1">"c9352"</definedName>
    <definedName name="IQ_TOTAL_RECOV_RESOURCES_ALUM" hidden="1">"c9236"</definedName>
    <definedName name="IQ_TOTAL_RECOV_RESOURCES_COAL" hidden="1">"c9815"</definedName>
    <definedName name="IQ_TOTAL_RECOV_RESOURCES_COP" hidden="1">"c9180"</definedName>
    <definedName name="IQ_TOTAL_RECOV_RESOURCES_DIAM" hidden="1">"c9660"</definedName>
    <definedName name="IQ_TOTAL_RECOV_RESOURCES_GOLD" hidden="1">"c9021"</definedName>
    <definedName name="IQ_TOTAL_RECOV_RESOURCES_IRON" hidden="1">"c9395"</definedName>
    <definedName name="IQ_TOTAL_RECOV_RESOURCES_LEAD" hidden="1">"c9448"</definedName>
    <definedName name="IQ_TOTAL_RECOV_RESOURCES_MANG" hidden="1">"c9501"</definedName>
    <definedName name="IQ_TOTAL_RECOV_RESOURCES_MET_COAL" hidden="1">"c9755"</definedName>
    <definedName name="IQ_TOTAL_RECOV_RESOURCES_MOLYB" hidden="1">"c9713"</definedName>
    <definedName name="IQ_TOTAL_RECOV_RESOURCES_NICK" hidden="1">"c9289"</definedName>
    <definedName name="IQ_TOTAL_RECOV_RESOURCES_PLAT" hidden="1">"c9127"</definedName>
    <definedName name="IQ_TOTAL_RECOV_RESOURCES_SILVER" hidden="1">"c9074"</definedName>
    <definedName name="IQ_TOTAL_RECOV_RESOURCES_STEAM" hidden="1">"c9785"</definedName>
    <definedName name="IQ_TOTAL_RECOV_RESOURCES_TITAN" hidden="1">"c9554"</definedName>
    <definedName name="IQ_TOTAL_RECOV_RESOURCES_URAN" hidden="1">"c9607"</definedName>
    <definedName name="IQ_TOTAL_RECOV_RESOURCES_ZINC" hidden="1">"c9342"</definedName>
    <definedName name="IQ_TOTAL_RECOVERIES_FDIC" hidden="1">"c6622"</definedName>
    <definedName name="IQ_TOTAL_RESOURCES_CALORIFIC_VALUE_COAL" hidden="1">"c9810"</definedName>
    <definedName name="IQ_TOTAL_RESOURCES_CALORIFIC_VALUE_MET_COAL" hidden="1">"c9750"</definedName>
    <definedName name="IQ_TOTAL_RESOURCES_CALORIFIC_VALUE_STEAM" hidden="1">"c9780"</definedName>
    <definedName name="IQ_TOTAL_RESOURCES_GRADE_ALUM" hidden="1">"c9231"</definedName>
    <definedName name="IQ_TOTAL_RESOURCES_GRADE_COP" hidden="1">"c9175"</definedName>
    <definedName name="IQ_TOTAL_RESOURCES_GRADE_DIAM" hidden="1">"c9655"</definedName>
    <definedName name="IQ_TOTAL_RESOURCES_GRADE_GOLD" hidden="1">"c9016"</definedName>
    <definedName name="IQ_TOTAL_RESOURCES_GRADE_IRON" hidden="1">"c9390"</definedName>
    <definedName name="IQ_TOTAL_RESOURCES_GRADE_LEAD" hidden="1">"c9443"</definedName>
    <definedName name="IQ_TOTAL_RESOURCES_GRADE_MANG" hidden="1">"c9496"</definedName>
    <definedName name="IQ_TOTAL_RESOURCES_GRADE_MOLYB" hidden="1">"c9708"</definedName>
    <definedName name="IQ_TOTAL_RESOURCES_GRADE_NICK" hidden="1">"c9284"</definedName>
    <definedName name="IQ_TOTAL_RESOURCES_GRADE_PLAT" hidden="1">"c9122"</definedName>
    <definedName name="IQ_TOTAL_RESOURCES_GRADE_SILVER" hidden="1">"c9069"</definedName>
    <definedName name="IQ_TOTAL_RESOURCES_GRADE_TITAN" hidden="1">"c9549"</definedName>
    <definedName name="IQ_TOTAL_RESOURCES_GRADE_URAN" hidden="1">"c9602"</definedName>
    <definedName name="IQ_TOTAL_RESOURCES_GRADE_ZINC" hidden="1">"c9337"</definedName>
    <definedName name="IQ_TOTAL_RETURN_SWAPS_DERIVATIVES_BENEFICIARY_FFIEC" hidden="1">"c13120"</definedName>
    <definedName name="IQ_TOTAL_RETURN_SWAPS_DERIVATIVES_GUARANTOR_FFIEC" hidden="1">"c13113"</definedName>
    <definedName name="IQ_TOTAL_REV" hidden="1">"c1294"</definedName>
    <definedName name="IQ_TOTAL_REV_10YR_ANN_CAGR" hidden="1">"c6150"</definedName>
    <definedName name="IQ_TOTAL_REV_10YR_ANN_GROWTH" hidden="1">"c1295"</definedName>
    <definedName name="IQ_TOTAL_REV_1YR_ANN_GROWTH" hidden="1">"c1296"</definedName>
    <definedName name="IQ_TOTAL_REV_2YR_ANN_CAGR" hidden="1">"c6151"</definedName>
    <definedName name="IQ_TOTAL_REV_2YR_ANN_GROWTH" hidden="1">"c1297"</definedName>
    <definedName name="IQ_TOTAL_REV_3YR_ANN_CAGR" hidden="1">"c6152"</definedName>
    <definedName name="IQ_TOTAL_REV_3YR_ANN_GROWTH" hidden="1">"c1298"</definedName>
    <definedName name="IQ_TOTAL_REV_5YR_ANN_CAGR" hidden="1">"c6153"</definedName>
    <definedName name="IQ_TOTAL_REV_5YR_ANN_GROWTH" hidden="1">"c1299"</definedName>
    <definedName name="IQ_TOTAL_REV_7YR_ANN_CAGR" hidden="1">"c6154"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NK_FDIC" hidden="1">"c6786"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" hidden="1">"c6275"</definedName>
    <definedName name="IQ_TOTAL_REV_REIT" hidden="1">"c1307"</definedName>
    <definedName name="IQ_TOTAL_REV_SHARE" hidden="1">"c1912"</definedName>
    <definedName name="IQ_TOTAL_REV_SUBTOTAL_AP" hidden="1">"c8975"</definedName>
    <definedName name="IQ_TOTAL_REV_UTI" hidden="1">"c1308"</definedName>
    <definedName name="IQ_TOTAL_REVENUE" hidden="1">"c1436"</definedName>
    <definedName name="IQ_TOTAL_REVENUE_FFIEC" hidden="1">"c13020"</definedName>
    <definedName name="IQ_TOTAL_RISK_BASED_CAPITAL_FFIEC" hidden="1">"c13153"</definedName>
    <definedName name="IQ_TOTAL_RISK_BASED_CAPITAL_RATIO_FDIC" hidden="1">"c6747"</definedName>
    <definedName name="IQ_TOTAL_RISK_BASED_CAPITAL_RATIO_FFIEC" hidden="1">"c13162"</definedName>
    <definedName name="IQ_TOTAL_ROOMS" hidden="1">"c8789"</definedName>
    <definedName name="IQ_TOTAL_SECURITIES_FDIC" hidden="1">"c6306"</definedName>
    <definedName name="IQ_TOTAL_SPECIAL" hidden="1">"c1618"</definedName>
    <definedName name="IQ_TOTAL_SQ_FT" hidden="1">"c8781"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TIME_DEPOSITS_FDIC" hidden="1">"c6497"</definedName>
    <definedName name="IQ_TOTAL_TIME_SAVINGS_DEPOSITS_FDIC" hidden="1">"c6498"</definedName>
    <definedName name="IQ_TOTAL_TRADING_ASSETS_FFIEC" hidden="1">"c12939"</definedName>
    <definedName name="IQ_TOTAL_TRADING_LIAB_DOM_FFIEC" hidden="1">"c12944"</definedName>
    <definedName name="IQ_TOTAL_UNITS" hidden="1">"c8773"</definedName>
    <definedName name="IQ_TOTAL_UNUSED_COMMITMENTS_FDIC" hidden="1">"c6536"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" hidden="1">"c6286"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_TERM_FEE" hidden="1">"c13638"</definedName>
    <definedName name="IQ_TR_BUY_TERM_FEE_PCT" hidden="1">"c13639"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PPROACH" hidden="1">"c12706"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GISTRATION_FEES" hidden="1">"c2274"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_TERM_FEE" hidden="1">"c2298"</definedName>
    <definedName name="IQ_TR_SELL_TERM_FEE_PCT" hidden="1">"c2297"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CCOUNT_GAINS_FEES_FDIC" hidden="1">"c6573"</definedName>
    <definedName name="IQ_TRADING_ASSETS" hidden="1">"c1310"</definedName>
    <definedName name="IQ_TRADING_ASSETS_FAIR_VALUE_TOT_FFIEC" hidden="1">"c13210"</definedName>
    <definedName name="IQ_TRADING_ASSETS_FDIC" hidden="1">"c6328"</definedName>
    <definedName name="IQ_TRADING_ASSETS_FFIEC" hidden="1">"c12812"</definedName>
    <definedName name="IQ_TRADING_ASSETS_FOREIGN_FFIEC" hidden="1">"c12940"</definedName>
    <definedName name="IQ_TRADING_ASSETS_LEVEL_1_FFIEC" hidden="1">"c13218"</definedName>
    <definedName name="IQ_TRADING_ASSETS_LEVEL_2_FFIEC" hidden="1">"c13226"</definedName>
    <definedName name="IQ_TRADING_ASSETS_LEVEL_3_FFIEC" hidden="1">"c13234"</definedName>
    <definedName name="IQ_TRADING_ASSETS_QUARTERLY_AVG_FFIEC" hidden="1">"c13085"</definedName>
    <definedName name="IQ_TRADING_CURRENCY" hidden="1">"c2212"</definedName>
    <definedName name="IQ_TRADING_ITEM_CIQID" hidden="1">"c8949"</definedName>
    <definedName name="IQ_TRADING_LIABILITIES_FAIR_VALUE_TOT_FFIEC" hidden="1">"c13214"</definedName>
    <definedName name="IQ_TRADING_LIABILITIES_FDIC" hidden="1">"c6344"</definedName>
    <definedName name="IQ_TRADING_LIABILITIES_FFIEC" hidden="1">"c12858"</definedName>
    <definedName name="IQ_TRADING_LIABILITIES_LEVEL_1_FFIEC" hidden="1">"c13222"</definedName>
    <definedName name="IQ_TRADING_LIABILITIES_LEVEL_2_FFIEC" hidden="1">"c13230"</definedName>
    <definedName name="IQ_TRADING_LIABILITIES_LEVEL_3_FFIEC" hidden="1">"c13238"</definedName>
    <definedName name="IQ_TRADING_REV_OPERATING_INC_FFIEC" hidden="1">"c13385"</definedName>
    <definedName name="IQ_TRADING_REVENUE_FFIEC" hidden="1">"c13004"</definedName>
    <definedName name="IQ_TRANSACTION_ACCOUNTS_FDIC" hidden="1">"c6544"</definedName>
    <definedName name="IQ_TREASURY" hidden="1">"c1311"</definedName>
    <definedName name="IQ_TREASURY_INVEST_SECURITIES_FFIEC" hidden="1">"c13457"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" hidden="1">"c6276"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EASURY_STOCK_TRANSACTIONS_FDIC" hidden="1">"c6501"</definedName>
    <definedName name="IQ_TRUCK_ASSEMBLIES" hidden="1">"c7021"</definedName>
    <definedName name="IQ_TRUCK_ASSEMBLIES_APR" hidden="1">"c7681"</definedName>
    <definedName name="IQ_TRUCK_ASSEMBLIES_APR_FC" hidden="1">"c8561"</definedName>
    <definedName name="IQ_TRUCK_ASSEMBLIES_FC" hidden="1">"c7901"</definedName>
    <definedName name="IQ_TRUCK_ASSEMBLIES_POP" hidden="1">"c7241"</definedName>
    <definedName name="IQ_TRUCK_ASSEMBLIES_POP_FC" hidden="1">"c8121"</definedName>
    <definedName name="IQ_TRUCK_ASSEMBLIES_YOY" hidden="1">"c7461"</definedName>
    <definedName name="IQ_TRUCK_ASSEMBLIES_YOY_FC" hidden="1">"c8341"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TRUSTEE" hidden="1">"c8959"</definedName>
    <definedName name="IQ_TWELVE_MONTHS_FIXED_AND_FLOATING_FDIC" hidden="1">"c6420"</definedName>
    <definedName name="IQ_TWELVE_MONTHS_MORTGAGE_PASS_THROUGHS_FDIC" hidden="1">"c6412"</definedName>
    <definedName name="IQ_UFCF_10YR_ANN_CAGR" hidden="1">"c6179"</definedName>
    <definedName name="IQ_UFCF_10YR_ANN_GROWTH" hidden="1">"c1948"</definedName>
    <definedName name="IQ_UFCF_1YR_ANN_GROWTH" hidden="1">"c1943"</definedName>
    <definedName name="IQ_UFCF_2YR_ANN_CAGR" hidden="1">"c6175"</definedName>
    <definedName name="IQ_UFCF_2YR_ANN_GROWTH" hidden="1">"c1944"</definedName>
    <definedName name="IQ_UFCF_3YR_ANN_CAGR" hidden="1">"c6176"</definedName>
    <definedName name="IQ_UFCF_3YR_ANN_GROWTH" hidden="1">"c1945"</definedName>
    <definedName name="IQ_UFCF_5YR_ANN_CAGR" hidden="1">"c6177"</definedName>
    <definedName name="IQ_UFCF_5YR_ANN_GROWTH" hidden="1">"c1946"</definedName>
    <definedName name="IQ_UFCF_7YR_ANN_CAGR" hidden="1">"c6178"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CONSOL_BEDS" hidden="1">"c8783"</definedName>
    <definedName name="IQ_UNCONSOL_PROP" hidden="1">"c8762"</definedName>
    <definedName name="IQ_UNCONSOL_ROOMS" hidden="1">"c8787"</definedName>
    <definedName name="IQ_UNCONSOL_SQ_FT" hidden="1">"c8778"</definedName>
    <definedName name="IQ_UNCONSOL_UNITS" hidden="1">"c8770"</definedName>
    <definedName name="IQ_UNDERWRITER" hidden="1">"c8958"</definedName>
    <definedName name="IQ_UNDERWRITING_PROFIT" hidden="1">"c9975"</definedName>
    <definedName name="IQ_UNDIVIDED_PROFITS_FDIC" hidden="1">"c6352"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" hidden="1">"c6277"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EARNED_INCOME_FDIC" hidden="1">"c6324"</definedName>
    <definedName name="IQ_UNEARNED_INCOME_FOREIGN_FDIC" hidden="1">"c6385"</definedName>
    <definedName name="IQ_UNEARNED_INCOME_LL_REC_DOM_FFIEC" hidden="1">"c12916"</definedName>
    <definedName name="IQ_UNEARNED_INCOME_LL_REC_FFIEC" hidden="1">"c12897"</definedName>
    <definedName name="IQ_UNEARNED_PREMIUMS_PC_FFIEC" hidden="1">"c13101"</definedName>
    <definedName name="IQ_UNEMPLOYMENT_RATE" hidden="1">"c7023"</definedName>
    <definedName name="IQ_UNEMPLOYMENT_RATE_FC" hidden="1">"c7903"</definedName>
    <definedName name="IQ_UNEMPLOYMENT_RATE_POP" hidden="1">"c7243"</definedName>
    <definedName name="IQ_UNEMPLOYMENT_RATE_POP_FC" hidden="1">"c8123"</definedName>
    <definedName name="IQ_UNEMPLOYMENT_RATE_YOY" hidden="1">"c7463"</definedName>
    <definedName name="IQ_UNEMPLOYMENT_RATE_YOY_FC" hidden="1">"c8343"</definedName>
    <definedName name="IQ_UNIT_LABOR_COST_INDEX" hidden="1">"c7025"</definedName>
    <definedName name="IQ_UNIT_LABOR_COST_INDEX_APR" hidden="1">"c7685"</definedName>
    <definedName name="IQ_UNIT_LABOR_COST_INDEX_APR_FC" hidden="1">"c8565"</definedName>
    <definedName name="IQ_UNIT_LABOR_COST_INDEX_FC" hidden="1">"c7905"</definedName>
    <definedName name="IQ_UNIT_LABOR_COST_INDEX_PCT_CHANGE" hidden="1">"c7024"</definedName>
    <definedName name="IQ_UNIT_LABOR_COST_INDEX_PCT_CHANGE_FC" hidden="1">"c7904"</definedName>
    <definedName name="IQ_UNIT_LABOR_COST_INDEX_PCT_CHANGE_POP" hidden="1">"c7244"</definedName>
    <definedName name="IQ_UNIT_LABOR_COST_INDEX_PCT_CHANGE_POP_FC" hidden="1">"c8124"</definedName>
    <definedName name="IQ_UNIT_LABOR_COST_INDEX_PCT_CHANGE_YOY" hidden="1">"c7464"</definedName>
    <definedName name="IQ_UNIT_LABOR_COST_INDEX_PCT_CHANGE_YOY_FC" hidden="1">"c8344"</definedName>
    <definedName name="IQ_UNIT_LABOR_COST_INDEX_POP" hidden="1">"c7245"</definedName>
    <definedName name="IQ_UNIT_LABOR_COST_INDEX_POP_FC" hidden="1">"c8125"</definedName>
    <definedName name="IQ_UNIT_LABOR_COST_INDEX_YOY" hidden="1">"c7465"</definedName>
    <definedName name="IQ_UNIT_LABOR_COST_INDEX_YOY_FC" hidden="1">"c8345"</definedName>
    <definedName name="IQ_UNLEVERED_FCF" hidden="1">"c1908"</definedName>
    <definedName name="IQ_UNPAID_CLAIMS" hidden="1">"c1330"</definedName>
    <definedName name="IQ_UNPROFITABLE_INSTITUTIONS_FDIC" hidden="1">"c6722"</definedName>
    <definedName name="IQ_UNREALIZED_GAIN" hidden="1">"c1619"</definedName>
    <definedName name="IQ_UNSECURED_COMMITMENTS_COMMERCIAL_RE_UNUSED_FFIEC" hidden="1">"c13246"</definedName>
    <definedName name="IQ_UNSECURED_DEBT" hidden="1">"c2548"</definedName>
    <definedName name="IQ_UNSECURED_DEBT_PCT" hidden="1">"c2549"</definedName>
    <definedName name="IQ_UNUSED_LOAN_COMMITMENTS_FDIC" hidden="1">"c6368"</definedName>
    <definedName name="IQ_UNUSUAL_EXP" hidden="1">"c1456"</definedName>
    <definedName name="IQ_US_ADDRESS_LEASE_FIN_REC_FFIEC" hidden="1">"c13624"</definedName>
    <definedName name="IQ_US_AGENCY_OBLIG_FFIEC" hidden="1">"c12779"</definedName>
    <definedName name="IQ_US_AGENCY_OBLIG_TRADING_DOM_FFIEC" hidden="1">"c12919"</definedName>
    <definedName name="IQ_US_AGENCY_OBLIG_TRADING_FFIEC" hidden="1">"c12814"</definedName>
    <definedName name="IQ_US_AGENCY_OBLIGATIONS_AVAIL_SALE_FFIEC" hidden="1">"c12793"</definedName>
    <definedName name="IQ_US_BRANCHES_FOREIGN_BANK_LOANS_FDIC" hidden="1">"c6435"</definedName>
    <definedName name="IQ_US_BRANCHES_FOREIGN_BANKS_FDIC" hidden="1">"c6390"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S_GOV_AGENCIES_FDIC" hidden="1">"c6395"</definedName>
    <definedName name="IQ_US_GOV_DEPOSITS_FDIC" hidden="1">"c6483"</definedName>
    <definedName name="IQ_US_GOV_ENTERPRISES_FDIC" hidden="1">"c6396"</definedName>
    <definedName name="IQ_US_GOV_NONCURRENT_LOANS_TOTAL_NONCURRENT_FDIC" hidden="1">"c6779"</definedName>
    <definedName name="IQ_US_GOV_NONTRANSACTION_ACCOUNTS_FDIC" hidden="1">"c6546"</definedName>
    <definedName name="IQ_US_GOV_OBLIGATIONS_FDIC" hidden="1">"c6299"</definedName>
    <definedName name="IQ_US_GOV_SECURITIES_FDIC" hidden="1">"c6297"</definedName>
    <definedName name="IQ_US_GOV_TOTAL_DEPOSITS_FDIC" hidden="1">"c6472"</definedName>
    <definedName name="IQ_US_GOV_TRANSACTION_ACCOUNTS_FDIC" hidden="1">"c6538"</definedName>
    <definedName name="IQ_US_INST_DUE_30_89_FFIEC" hidden="1">"c13268"</definedName>
    <definedName name="IQ_US_INST_DUE_90_FFIEC" hidden="1">"c13294"</definedName>
    <definedName name="IQ_US_INST_NON_ACCRUAL_FFIEC" hidden="1">"c13320"</definedName>
    <definedName name="IQ_US_SPONSORED_AGENCY_OBLIG_AVAIL_SALE_FFIEC" hidden="1">"c12794"</definedName>
    <definedName name="IQ_US_SPONSORED_AGENCY_OBLIG_FFIEC" hidden="1">"c12780"</definedName>
    <definedName name="IQ_US_TREASURY_SEC_AVAIL_SALE_FFIEC" hidden="1">"c12792"</definedName>
    <definedName name="IQ_US_TREASURY_SEC_TRADING_DOM_FFIEC" hidden="1">"c12918"</definedName>
    <definedName name="IQ_US_TREASURY_SEC_TRADING_FFIEC" hidden="1">"c12813"</definedName>
    <definedName name="IQ_US_TREASURY_SECURITIES_FDIC" hidden="1">"c6298"</definedName>
    <definedName name="IQ_US_TREASURY_SECURITIES_FFIEC" hidden="1">"c12778"</definedName>
    <definedName name="IQ_UTIL_PPE_NET" hidden="1">"c1620"</definedName>
    <definedName name="IQ_UTIL_REV" hidden="1">"c2091"</definedName>
    <definedName name="IQ_UV_PENSION_LIAB" hidden="1">"c1332"</definedName>
    <definedName name="IQ_VALUATION_ALLOWANCES_FDIC" hidden="1">"c6400"</definedName>
    <definedName name="IQ_VALUE_TRADED" hidden="1">"c1519"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ARIABLE_RATE_PREFERREDS_INT_SENSITIVITY_FFIEC" hidden="1">"c13096"</definedName>
    <definedName name="IQ_VC_REV_OPERATING_INC_FFIEC" hidden="1">"c13388"</definedName>
    <definedName name="IQ_VC_REVENUE_FDIC" hidden="1">"c6667"</definedName>
    <definedName name="IQ_VEHICLE_ASSEMBLIES_LIGHT" hidden="1">"c6905"</definedName>
    <definedName name="IQ_VEHICLE_ASSEMBLIES_LIGHT_APR" hidden="1">"c7565"</definedName>
    <definedName name="IQ_VEHICLE_ASSEMBLIES_LIGHT_APR_FC" hidden="1">"c8445"</definedName>
    <definedName name="IQ_VEHICLE_ASSEMBLIES_LIGHT_FC" hidden="1">"c7785"</definedName>
    <definedName name="IQ_VEHICLE_ASSEMBLIES_LIGHT_NEW" hidden="1">"c6925"</definedName>
    <definedName name="IQ_VEHICLE_ASSEMBLIES_LIGHT_NEW_APR" hidden="1">"c7585"</definedName>
    <definedName name="IQ_VEHICLE_ASSEMBLIES_LIGHT_NEW_APR_FC" hidden="1">"c8465"</definedName>
    <definedName name="IQ_VEHICLE_ASSEMBLIES_LIGHT_NEW_FC" hidden="1">"c7805"</definedName>
    <definedName name="IQ_VEHICLE_ASSEMBLIES_LIGHT_NEW_POP" hidden="1">"c7145"</definedName>
    <definedName name="IQ_VEHICLE_ASSEMBLIES_LIGHT_NEW_POP_FC" hidden="1">"c8025"</definedName>
    <definedName name="IQ_VEHICLE_ASSEMBLIES_LIGHT_NEW_YOY" hidden="1">"c7365"</definedName>
    <definedName name="IQ_VEHICLE_ASSEMBLIES_LIGHT_NEW_YOY_FC" hidden="1">"c8245"</definedName>
    <definedName name="IQ_VEHICLE_ASSEMBLIES_LIGHT_POP" hidden="1">"c7125"</definedName>
    <definedName name="IQ_VEHICLE_ASSEMBLIES_LIGHT_POP_FC" hidden="1">"c8005"</definedName>
    <definedName name="IQ_VEHICLE_ASSEMBLIES_LIGHT_YOY" hidden="1">"c7345"</definedName>
    <definedName name="IQ_VEHICLE_ASSEMBLIES_LIGHT_YOY_FC" hidden="1">"c8225"</definedName>
    <definedName name="IQ_VEHICLE_ASSEMBLIES_TOTAL" hidden="1">"c7020"</definedName>
    <definedName name="IQ_VEHICLE_ASSEMBLIES_TOTAL_APR" hidden="1">"c7680"</definedName>
    <definedName name="IQ_VEHICLE_ASSEMBLIES_TOTAL_APR_FC" hidden="1">"c8560"</definedName>
    <definedName name="IQ_VEHICLE_ASSEMBLIES_TOTAL_FC" hidden="1">"c7900"</definedName>
    <definedName name="IQ_VEHICLE_ASSEMBLIES_TOTAL_POP" hidden="1">"c7240"</definedName>
    <definedName name="IQ_VEHICLE_ASSEMBLIES_TOTAL_POP_FC" hidden="1">"c8120"</definedName>
    <definedName name="IQ_VEHICLE_ASSEMBLIES_TOTAL_YOY" hidden="1">"c7460"</definedName>
    <definedName name="IQ_VEHICLE_ASSEMBLIES_TOTAL_YOY_FC" hidden="1">"c8340"</definedName>
    <definedName name="IQ_VENTURE_CAPITAL_REVENUE_FFIEC" hidden="1">"c13010"</definedName>
    <definedName name="IQ_VIF_AFTER_COST_CAPITAL_COVERED" hidden="1">"c9966"</definedName>
    <definedName name="IQ_VIF_AFTER_COST_CAPITAL_GROUP" hidden="1">"c9952"</definedName>
    <definedName name="IQ_VIF_BEFORE_COST_CAPITAL_COVERED" hidden="1">"c9964"</definedName>
    <definedName name="IQ_VIF_BEFORE_COST_CAPITAL_GROUP" hidden="1">"c9950"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ATILE_LIABILITIES_FDIC" hidden="1">"c6364"</definedName>
    <definedName name="IQ_VOLUME" hidden="1">"c1333"</definedName>
    <definedName name="IQ_VWAP" hidden="1">"c13514"</definedName>
    <definedName name="IQ_WAC_CURRENT" hidden="1">"c8961"</definedName>
    <definedName name="IQ_WAC_ORIGINAL" hidden="1">"c8953"</definedName>
    <definedName name="IQ_WAM_CURRENT" hidden="1">"c8962"</definedName>
    <definedName name="IQ_WAM_ORIGINAL" hidden="1">"c8952"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EK" hidden="1">50000</definedName>
    <definedName name="IQ_WEIGHTED_AVG_PRICE" hidden="1">"c1334"</definedName>
    <definedName name="IQ_WHOLESALE_INVENTORIES" hidden="1">"c7027"</definedName>
    <definedName name="IQ_WHOLESALE_INVENTORIES_APR" hidden="1">"c7687"</definedName>
    <definedName name="IQ_WHOLESALE_INVENTORIES_APR_FC" hidden="1">"c8567"</definedName>
    <definedName name="IQ_WHOLESALE_INVENTORIES_FC" hidden="1">"c7907"</definedName>
    <definedName name="IQ_WHOLESALE_INVENTORIES_POP" hidden="1">"c7247"</definedName>
    <definedName name="IQ_WHOLESALE_INVENTORIES_POP_FC" hidden="1">"c8127"</definedName>
    <definedName name="IQ_WHOLESALE_INVENTORIES_YOY" hidden="1">"c7467"</definedName>
    <definedName name="IQ_WHOLESALE_INVENTORIES_YOY_FC" hidden="1">"c8347"</definedName>
    <definedName name="IQ_WHOLESALE_IS_RATIO" hidden="1">"c7026"</definedName>
    <definedName name="IQ_WHOLESALE_IS_RATIO_FC" hidden="1">"c7906"</definedName>
    <definedName name="IQ_WHOLESALE_IS_RATIO_POP" hidden="1">"c7246"</definedName>
    <definedName name="IQ_WHOLESALE_IS_RATIO_POP_FC" hidden="1">"c8126"</definedName>
    <definedName name="IQ_WHOLESALE_IS_RATIO_YOY" hidden="1">"c7466"</definedName>
    <definedName name="IQ_WHOLESALE_IS_RATIO_YOY_FC" hidden="1">"c8346"</definedName>
    <definedName name="IQ_WHOLESALE_SALES" hidden="1">"c7028"</definedName>
    <definedName name="IQ_WHOLESALE_SALES_APR" hidden="1">"c7688"</definedName>
    <definedName name="IQ_WHOLESALE_SALES_APR_FC" hidden="1">"c8568"</definedName>
    <definedName name="IQ_WHOLESALE_SALES_FC" hidden="1">"c7908"</definedName>
    <definedName name="IQ_WHOLESALE_SALES_INDEX" hidden="1">"c7029"</definedName>
    <definedName name="IQ_WHOLESALE_SALES_INDEX_APR" hidden="1">"c7689"</definedName>
    <definedName name="IQ_WHOLESALE_SALES_INDEX_APR_FC" hidden="1">"c8569"</definedName>
    <definedName name="IQ_WHOLESALE_SALES_INDEX_FC" hidden="1">"c7909"</definedName>
    <definedName name="IQ_WHOLESALE_SALES_INDEX_POP" hidden="1">"c7249"</definedName>
    <definedName name="IQ_WHOLESALE_SALES_INDEX_POP_FC" hidden="1">"c8129"</definedName>
    <definedName name="IQ_WHOLESALE_SALES_INDEX_YOY" hidden="1">"c7469"</definedName>
    <definedName name="IQ_WHOLESALE_SALES_INDEX_YOY_FC" hidden="1">"c8349"</definedName>
    <definedName name="IQ_WHOLESALE_SALES_POP" hidden="1">"c7248"</definedName>
    <definedName name="IQ_WHOLESALE_SALES_POP_FC" hidden="1">"c8128"</definedName>
    <definedName name="IQ_WHOLESALE_SALES_YOY" hidden="1">"c7468"</definedName>
    <definedName name="IQ_WHOLESALE_SALES_YOY_FC" hidden="1">"c8348"</definedName>
    <definedName name="IQ_WIP_INV" hidden="1">"c1335"</definedName>
    <definedName name="IQ_WORKING_CAP" hidden="1">"c3494"</definedName>
    <definedName name="IQ_WORKMEN_WRITTEN" hidden="1">"c1336"</definedName>
    <definedName name="IQ_WRITTEN_OPTION_CONTRACTS_FDIC" hidden="1">"c6509"</definedName>
    <definedName name="IQ_WRITTEN_OPTION_CONTRACTS_FX_RISK_FDIC" hidden="1">"c6514"</definedName>
    <definedName name="IQ_WRITTEN_OPTION_CONTRACTS_NON_FX_IR_FDIC" hidden="1">"c6519"</definedName>
    <definedName name="IQ_XDIV_DATE" hidden="1">"c2203"</definedName>
    <definedName name="IQ_YEAR_FOUNDED" hidden="1">"c6793"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IELD_FED_FUNDS_SOLD_FFIEC" hidden="1">"c13487"</definedName>
    <definedName name="IQ_YIELD_TRADING_ASSETS_FFIEC" hidden="1">"c13488"</definedName>
    <definedName name="IQ_YTD" hidden="1">3000</definedName>
    <definedName name="IQ_YTDMONTH" hidden="1">130000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RR_NPV">#REF!</definedName>
    <definedName name="IRR_PV">#REF!</definedName>
    <definedName name="irrnumb">#REF!</definedName>
    <definedName name="IRRs">#REF!</definedName>
    <definedName name="IS_COGS">#REF!</definedName>
    <definedName name="IS_convprefdiv">#REF!</definedName>
    <definedName name="IS_deprec">#REF!</definedName>
    <definedName name="IS_eps">#REF!</definedName>
    <definedName name="IS_goodwill">#REF!</definedName>
    <definedName name="IS_inctaxes">#REF!</definedName>
    <definedName name="IS_intangamort">#REF!</definedName>
    <definedName name="IS_intconvert">#REF!</definedName>
    <definedName name="IS_intexisting">#REF!</definedName>
    <definedName name="IS_intincome">#REF!</definedName>
    <definedName name="IS_intrevolver">#REF!</definedName>
    <definedName name="IS_minority">#REF!</definedName>
    <definedName name="IS_othernonopexp">#REF!</definedName>
    <definedName name="IS_otheropexp">#REF!</definedName>
    <definedName name="IS_revenues">#REF!</definedName>
    <definedName name="IS_SGA">#REF!</definedName>
    <definedName name="IS_straightprefdiv">#REF!</definedName>
    <definedName name="ish">#REF!</definedName>
    <definedName name="IssueDebt">#REF!</definedName>
    <definedName name="IsTemplate" hidden="1">#REF!</definedName>
    <definedName name="IV.__Lender_UNDERWRITING_CONCLUSIONS">#REF!</definedName>
    <definedName name="IX.__SITE__TITLE___ZONING">#REF!</definedName>
    <definedName name="j">#REF!</definedName>
    <definedName name="JA">#REF!</definedName>
    <definedName name="JAN">#REF!</definedName>
    <definedName name="JanEndDate">#REF!</definedName>
    <definedName name="JANUARY">#REF!</definedName>
    <definedName name="jg" hidden="1">{#N/A,#N/A,FALSE,"A";#N/A,#N/A,FALSE,"C"}</definedName>
    <definedName name="ji" localSheetId="2" hidden="1">{"'Highlights'!$A$1:$M$123"}</definedName>
    <definedName name="ji" hidden="1">{"'Highlights'!$A$1:$M$123"}</definedName>
    <definedName name="jjj" hidden="1">#REF!</definedName>
    <definedName name="jjjgf" hidden="1">#REF!</definedName>
    <definedName name="jjjjj" hidden="1">#REF!</definedName>
    <definedName name="jjjk" hidden="1">#REF!</definedName>
    <definedName name="jjlj" hidden="1">{"scheduleB",#N/A,FALSE,"CTT_CLO"}</definedName>
    <definedName name="jk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jkdjfdkjfd" hidden="1">{#N/A,#N/A,FALSE,"COVER";#N/A,#N/A,FALSE,"TABLE OF CONTENTS";#N/A,#N/A,FALSE,"EXEC SUMM";#N/A,#N/A,FALSE,"SURVEY";#N/A,#N/A,FALSE,"PROSPECT";#N/A,#N/A,FALSE,"NEW,EXPANSION,RENEWAL,RELET";#N/A,#N/A,FALSE,"EXPIRED,DEFAULTED";#N/A,#N/A,FALSE,"SIGNED LEASES";#N/A,#N/A,FALSE,"LOST TRANSACTIONS ";#N/A,#N/A,FALSE,"STACKING PLAN";#N/A,#N/A,FALSE,"EXPIRATIONS";#N/A,#N/A,FALSE,"OPTIONS";#N/A,#N/A,FALSE,"SUBLEASE";#N/A,#N/A,FALSE,"AR ANALYSIS";#N/A,#N/A,FALSE,"NER_IN_PLACE";#N/A,#N/A,TRUE,"NER_ACQ_DATE";#N/A,#N/A,FALSE,"titles"}</definedName>
    <definedName name="jlkj" hidden="1">{#N/A,#N/A,TRUE,"XL Cash Flow";#N/A,#N/A,TRUE,"Prop Valuation";#N/A,#N/A,TRUE,"Equity";#N/A,#N/A,TRUE,"Modeling assumptions";#N/A,#N/A,TRUE,"NER Model";#N/A,#N/A,TRUE,"Lease Exp";#N/A,#N/A,TRUE,"Inc &amp; Exp";#N/A,#N/A,TRUE,"Formatted - roll";#N/A,#N/A,TRUE,"Debt Model";#N/A,#N/A,TRUE,"Debt-Moody";#N/A,#N/A,TRUE,"Debt"}</definedName>
    <definedName name="Juan">#REF!</definedName>
    <definedName name="JUL">#REF!</definedName>
    <definedName name="JulEndDate">#REF!</definedName>
    <definedName name="July">"May"</definedName>
    <definedName name="JulyAug">#REF!</definedName>
    <definedName name="JUN">#REF!</definedName>
    <definedName name="JUNE">#REF!</definedName>
    <definedName name="JunEndDate">#REF!</definedName>
    <definedName name="JUNK" localSheetId="2" hidden="1">{"SCHEDULE",#N/A,FALSE,"Fin_sched"}</definedName>
    <definedName name="JUNK" hidden="1">{"SCHEDULE",#N/A,FALSE,"Fin_sched"}</definedName>
    <definedName name="Junk_condo" localSheetId="2" hidden="1">{"SCHEDULE",#N/A,FALSE,"Fin_sched"}</definedName>
    <definedName name="Junk_condo" hidden="1">{"SCHEDULE",#N/A,FALSE,"Fin_sched"}</definedName>
    <definedName name="JUNK2" localSheetId="2" hidden="1">{"SUMMARY",#N/A,FALSE,"Fin_sched"}</definedName>
    <definedName name="JUNK2" hidden="1">{"SUMMARY",#N/A,FALSE,"Fin_sched"}</definedName>
    <definedName name="jz" hidden="1">#REF!</definedName>
    <definedName name="k" hidden="1">#REF!</definedName>
    <definedName name="K2_WBEVMODE" hidden="1">0</definedName>
    <definedName name="Ke">#REF!</definedName>
    <definedName name="Key_1" hidden="1">#REF!</definedName>
    <definedName name="Keybank" hidden="1">#REF!</definedName>
    <definedName name="KeyMoney">#REF!</definedName>
    <definedName name="KeyMoneyBookYears">#REF!</definedName>
    <definedName name="KeyMoneyRepayment">#REF!</definedName>
    <definedName name="KeyMoneyRepaymentYears">#REF!</definedName>
    <definedName name="KGKHJ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kill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kill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kill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kill4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King">#REF!</definedName>
    <definedName name="kite" hidden="1">{"FCB_ALL",#N/A,FALSE,"FCB";"GREY_ALL",#N/A,FALSE,"GREY"}</definedName>
    <definedName name="kjghjg" hidden="1">{"page1",#N/A,FALSE,"The Sheet!!";"page2",#N/A,FALSE,"The Sheet!!"}</definedName>
    <definedName name="kjhkljh" hidden="1">#REF!</definedName>
    <definedName name="kjj" hidden="1">binary</definedName>
    <definedName name="kjjjjkjhk" hidden="1">{"sheet a",#N/A,FALSE,"A";"sheet b 1",#N/A,FALSE,"B";"sheet b 2",#N/A,FALSE,"B"}</definedName>
    <definedName name="kk" hidden="1">#REF!</definedName>
    <definedName name="kkjjj" hidden="1">{#N/A,#N/A,FALSE,"Common Area Accrual";#N/A,#N/A,FALSE,"Unit One LaSalle";#N/A,#N/A,FALSE,"Unit One CW";#N/A,#N/A,FALSE,"Unit One LaSallle + C &amp; W";#N/A,#N/A,FALSE,"Consolidated Accrual"}</definedName>
    <definedName name="kkk" localSheetId="2" hidden="1">{#N/A,#N/A,FALSE,"B_Spread"}</definedName>
    <definedName name="kkk" hidden="1">{#N/A,#N/A,FALSE,"B_Spread"}</definedName>
    <definedName name="klll" hidden="1">#REF!</definedName>
    <definedName name="km" localSheetId="2" hidden="1">{#N/A,#N/A,FALSE,"P&amp;L";#N/A,#N/A,FALSE,"Var_Fixed_cost"}</definedName>
    <definedName name="km" hidden="1">{#N/A,#N/A,FALSE,"P&amp;L";#N/A,#N/A,FALSE,"Var_Fixed_cost"}</definedName>
    <definedName name="KnownVariables">#REF!</definedName>
    <definedName name="KS">#REF!</definedName>
    <definedName name="ky" hidden="1">#REF!</definedName>
    <definedName name="kyd.ChngCell.01." hidden="1">#REF!</definedName>
    <definedName name="kyd.CounterLimitCell.01." hidden="1">"x"</definedName>
    <definedName name="kyd.Dim.01." hidden="1">"toad:Company"</definedName>
    <definedName name="kyd.ElementList.01." hidden="1">#REF!</definedName>
    <definedName name="kyd.ElementType.01." hidden="1">3</definedName>
    <definedName name="kyd.ItemType.01." hidden="1">2</definedName>
    <definedName name="kyd.MacroAtEnd." hidden="1">""</definedName>
    <definedName name="kyd.MacroEachCycle." hidden="1">""</definedName>
    <definedName name="kyd.MacroEndOfEachCycle." hidden="1">""</definedName>
    <definedName name="kyd.NumLevels.01." hidden="1">999</definedName>
    <definedName name="kyd.PanicStop." hidden="1">FALSE</definedName>
    <definedName name="kyd.ParentName.01." hidden="1">""</definedName>
    <definedName name="kyd.PreScreenData." hidden="1">FALSE</definedName>
    <definedName name="kyd.PrintParent.01." hidden="1">TRUE</definedName>
    <definedName name="kyd.PrintStdWhen." hidden="1">1</definedName>
    <definedName name="kyd.SaveAsFile." hidden="1">FALSE</definedName>
    <definedName name="kyd.SelectString.01." hidden="1">"*"</definedName>
    <definedName name="kyd.StdSortHide." hidden="1">FALSE</definedName>
    <definedName name="l" hidden="1">#REF!</definedName>
    <definedName name="l.constant">#REF!</definedName>
    <definedName name="L_ORÉAL">#REF!</definedName>
    <definedName name="LaborAlloc">#REF!</definedName>
    <definedName name="LaborAllocation">#REF!</definedName>
    <definedName name="ladd" hidden="1">#REF!</definedName>
    <definedName name="lai">#REF!</definedName>
    <definedName name="lakes">#REF!</definedName>
    <definedName name="Lancashire2">#REF!</definedName>
    <definedName name="LAND">#REF!</definedName>
    <definedName name="land_acq">#REF!</definedName>
    <definedName name="land_acq_price">#REF!</definedName>
    <definedName name="Land_Loan_Maturity">#REF!</definedName>
    <definedName name="land_value">#REF!</definedName>
    <definedName name="LAND2">#REF!</definedName>
    <definedName name="lank" hidden="1">#REF!</definedName>
    <definedName name="Last_Row">IF([0]!Values_Entered,Header_Row+[0]!Number_of_Payments+1,Header_Row)</definedName>
    <definedName name="LATENT_DEMAND">#REF!</definedName>
    <definedName name="LatestCash">#REF!</definedName>
    <definedName name="LatestConvertibleDebt">#REF!</definedName>
    <definedName name="LatestConvertiblePreferred">#REF!</definedName>
    <definedName name="LatestDocument">#REF!</definedName>
    <definedName name="LatestFYE">#REF!</definedName>
    <definedName name="LatestInvestmentsInUnconsolidatedAffiliates">#REF!</definedName>
    <definedName name="LatestMinorityInterest">#REF!</definedName>
    <definedName name="LatestShortTermDebt">#REF!</definedName>
    <definedName name="LatestStraightLongTermDebt">#REF!</definedName>
    <definedName name="LatestStraightPreferred">#REF!</definedName>
    <definedName name="LAUNDRY">#REF!</definedName>
    <definedName name="LAW">#REF!</definedName>
    <definedName name="LBOIPOExit1">#REF!</definedName>
    <definedName name="LBOIPOExit2">#REF!</definedName>
    <definedName name="LBOSaleExit1">#REF!</definedName>
    <definedName name="LBOSaleExit2">#REF!</definedName>
    <definedName name="LC">#REF!</definedName>
    <definedName name="LC_rate">#REF!</definedName>
    <definedName name="LC_rate_const">#REF!</definedName>
    <definedName name="LC_rate_const.">#REF!</definedName>
    <definedName name="Lcost">#REF!</definedName>
    <definedName name="LCY">#REF!</definedName>
    <definedName name="le">#REF!</definedName>
    <definedName name="LEASE">#REF!</definedName>
    <definedName name="LEASECOM">#REF!</definedName>
    <definedName name="LeasedIncIncluded">#REF!</definedName>
    <definedName name="LEASEUP">#REF!</definedName>
    <definedName name="LeaseUpMonths">#REF!</definedName>
    <definedName name="LEGA">#REF!</definedName>
    <definedName name="LEGC">#REF!</definedName>
    <definedName name="LEGD">#REF!</definedName>
    <definedName name="LEGE">#REF!</definedName>
    <definedName name="LEGF">#REF!</definedName>
    <definedName name="leh">#REF!</definedName>
    <definedName name="LendingGuidelines">#REF!</definedName>
    <definedName name="letter">#REF!</definedName>
    <definedName name="lev_fcf_rate">#REF!</definedName>
    <definedName name="Level_2">#REF!</definedName>
    <definedName name="Level_2_PD">#REF!</definedName>
    <definedName name="Leverage">#REF!</definedName>
    <definedName name="LevNeutral">#REF!</definedName>
    <definedName name="LFees">#REF!</definedName>
    <definedName name="LFQ">#REF!</definedName>
    <definedName name="LFY">#REF!</definedName>
    <definedName name="libor">#REF!</definedName>
    <definedName name="LIBOR_spread">#REF!</definedName>
    <definedName name="libor180d">#REF!</definedName>
    <definedName name="LIBOR2">#REF!</definedName>
    <definedName name="LIBOR3">#REF!</definedName>
    <definedName name="libor360d">#REF!</definedName>
    <definedName name="LIBOR4">#REF!</definedName>
    <definedName name="LIBOR5">#REF!</definedName>
    <definedName name="LIBORinvgrade">#REF!</definedName>
    <definedName name="LIBORnoninvgrade">#REF!</definedName>
    <definedName name="LIHTC_costs">#REF!</definedName>
    <definedName name="limcount" hidden="1">1</definedName>
    <definedName name="LINC">#REF!</definedName>
    <definedName name="lincoln">#REF!</definedName>
    <definedName name="LINCSPLIT">#REF!</definedName>
    <definedName name="liquid_reserve">#REF!</definedName>
    <definedName name="lisa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lisa2" hidden="1">{"View1",#N/A,FALSE,"Sheet1";"View2",#N/A,FALSE,"Sheet1"}</definedName>
    <definedName name="lisa3" hidden="1">{"View1",#N/A,FALSE,"Sheet1";"View2",#N/A,FALSE,"Sheet1"}</definedName>
    <definedName name="List_Amortization">#REF!</definedName>
    <definedName name="List_BlockLot">#REF!</definedName>
    <definedName name="List_BuildingSize">#REF!</definedName>
    <definedName name="List_ContractServices">#REF!</definedName>
    <definedName name="List_FuelType">#REF!</definedName>
    <definedName name="List_OtherIncome">#REF!</definedName>
    <definedName name="LIST_SUBTOTAL_CAPX">#REF!</definedName>
    <definedName name="LIST_SUBTOTAL_DEBT">#REF!</definedName>
    <definedName name="LIST_SUBTOTAL_EQUITY">#REF!</definedName>
    <definedName name="LIST_SUBTOTAL_OPERATIONS">#REF!</definedName>
    <definedName name="List_TenantName">#REF!</definedName>
    <definedName name="Listbox1">#REF!</definedName>
    <definedName name="ListOffset" hidden="1">1</definedName>
    <definedName name="ljhjg8976" hidden="1">#REF!</definedName>
    <definedName name="ljl" hidden="1">{#N/A,#N/A,FALSE,"Expense Detail ";#N/A,#N/A,FALSE,"Worksheet";#N/A,#N/A,FALSE,"Audit";#N/A,#N/A,FALSE,"Exclusions";#N/A,#N/A,FALSE,"Variance";#N/A,#N/A,FALSE,"Reconciliation"}</definedName>
    <definedName name="lkjhbkljh" hidden="1">#REF!</definedName>
    <definedName name="ll" localSheetId="2" hidden="1">{#N/A,#N/A,FALSE,"P&amp;L";#N/A,#N/A,FALSE,"Var_Fixed_cost"}</definedName>
    <definedName name="ll" hidden="1">{#N/A,#N/A,FALSE,"P&amp;L";#N/A,#N/A,FALSE,"Var_Fixed_cost"}</definedName>
    <definedName name="LL_SF">#REF!</definedName>
    <definedName name="lll" localSheetId="2" hidden="1">{#N/A,#N/A,FALSE,"P&amp;L";#N/A,#N/A,FALSE,"Var_Fixed_cost"}</definedName>
    <definedName name="lll" hidden="1">{#N/A,#N/A,FALSE,"P&amp;L";#N/A,#N/A,FALSE,"Var_Fixed_cost"}</definedName>
    <definedName name="lll767ggg" hidden="1">#REF!</definedName>
    <definedName name="lllll" hidden="1">{"sheet a",#N/A,FALSE,"A";"sheet b 1",#N/A,FALSE,"B";"sheet b 2",#N/A,FALSE,"B"}</definedName>
    <definedName name="llllllllllllllllllllllllllllll" hidden="1">{#N/A,#N/A,FALSE,"LP Exp";#N/A,#N/A,FALSE,"Salary";#N/A,#N/A,FALSE,"Admin Exp";#N/A,#N/A,FALSE,"QTS Bud";#N/A,#N/A,FALSE,"Marketing"}</definedName>
    <definedName name="Load">#REF!</definedName>
    <definedName name="loan">#REF!</definedName>
    <definedName name="Loan_Amount">#REF!</definedName>
    <definedName name="LOAN_AMT">#REF!</definedName>
    <definedName name="Loan_Comm_Narr_Printout">#REF!,#REF!,#REF!</definedName>
    <definedName name="LOAN_CONST">#REF!</definedName>
    <definedName name="Loan_Start">#REF!</definedName>
    <definedName name="Loan_Term_in_Years">#REF!</definedName>
    <definedName name="Loan_Type">#REF!</definedName>
    <definedName name="Loan_Years">#REF!</definedName>
    <definedName name="Loan1">#REF!</definedName>
    <definedName name="Loan2">#REF!</definedName>
    <definedName name="LoanAmount">#REF!</definedName>
    <definedName name="LoanDiscountNPV">#REF!</definedName>
    <definedName name="LoanPayoff">#REF!</definedName>
    <definedName name="LOANREQ">#REF!</definedName>
    <definedName name="loansummary" hidden="1">{#N/A,#N/A,FALSE,"loananalysis";#N/A,#N/A,FALSE,"proforma";#N/A,#N/A,FALSE,"unitmix"}</definedName>
    <definedName name="LoanTerm">#REF!</definedName>
    <definedName name="LOC" hidden="1">#REF!</definedName>
    <definedName name="LOC_amort">#REF!</definedName>
    <definedName name="LOC_Term">#REF!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tion">#REF!</definedName>
    <definedName name="lodging">#REF!</definedName>
    <definedName name="LOG">#REF!</definedName>
    <definedName name="logdingreits">#REF!</definedName>
    <definedName name="LOGOMAC">#REF!</definedName>
    <definedName name="London1">#REF!</definedName>
    <definedName name="Look1Area">#REF!</definedName>
    <definedName name="Look2Area">#REF!</definedName>
    <definedName name="Look3Area">#REF!</definedName>
    <definedName name="Look4Area">#REF!</definedName>
    <definedName name="Look5Area">#REF!</definedName>
    <definedName name="lookback">#REF!</definedName>
    <definedName name="LOOKUP">#REF!</definedName>
    <definedName name="LookUpRange">#REF!</definedName>
    <definedName name="LOREAL">#REF!</definedName>
    <definedName name="LOSS">#REF!</definedName>
    <definedName name="Losses" hidden="1">{"TAB 1",#N/A,FALSE,"1";"tab 2",#N/A,FALSE,"2";"TAB 3",#N/A,FALSE,"3";"tab 4",#N/A,FALSE,"4";"tab 5",#N/A,FALSE,"5";"tab 6",#N/A,FALSE,"6";"tab 7",#N/A,FALSE,"7";"TAB 8",#N/A,FALSE,"8"}</definedName>
    <definedName name="Louvers" localSheetId="2" hidden="1">{#N/A,#N/A,TRUE,"Ericsson Stadium PCD ";#N/A,#N/A,TRUE,"Ericsson Stadium IOR"}</definedName>
    <definedName name="Louvers" hidden="1">{#N/A,#N/A,TRUE,"Ericsson Stadium PCD ";#N/A,#N/A,TRUE,"Ericsson Stadium IOR"}</definedName>
    <definedName name="Louversa" localSheetId="2" hidden="1">{#N/A,#N/A,TRUE,"Ericsson Stadium PCD ";#N/A,#N/A,TRUE,"Ericsson Stadium IOR"}</definedName>
    <definedName name="Louversa" hidden="1">{#N/A,#N/A,TRUE,"Ericsson Stadium PCD ";#N/A,#N/A,TRUE,"Ericsson Stadium IOR"}</definedName>
    <definedName name="low_inc_unit_rate">#REF!</definedName>
    <definedName name="lowball">#REF!</definedName>
    <definedName name="LowDateA">#REF!</definedName>
    <definedName name="LowDateB">#REF!</definedName>
    <definedName name="lower">#REF!</definedName>
    <definedName name="LowOption1">#REF!</definedName>
    <definedName name="LowOption2">#REF!</definedName>
    <definedName name="LowOption3">#REF!</definedName>
    <definedName name="LowOption4">#REF!</definedName>
    <definedName name="LOWPRES">#REF!</definedName>
    <definedName name="LowPriceA">#REF!</definedName>
    <definedName name="LowPriceB">#REF!</definedName>
    <definedName name="LPAR">#REF!</definedName>
    <definedName name="lrate">#REF!</definedName>
    <definedName name="Ltbor">#REF!</definedName>
    <definedName name="LTC">#REF!</definedName>
    <definedName name="LTerm">#REF!</definedName>
    <definedName name="LTM">#REF!</definedName>
    <definedName name="LTMEBIT">#REF!</definedName>
    <definedName name="LTMEBITA">#REF!</definedName>
    <definedName name="LTMEBITDA">#REF!</definedName>
    <definedName name="LTMEBITDAR">#REF!</definedName>
    <definedName name="LTMNetRevenues">#REF!</definedName>
    <definedName name="LTMOther1">#REF!</definedName>
    <definedName name="LTMOther2">#REF!</definedName>
    <definedName name="LTMOther3">#REF!</definedName>
    <definedName name="LTV">#REF!</definedName>
    <definedName name="ltv_max">#REF!</definedName>
    <definedName name="m" hidden="1">#REF!</definedName>
    <definedName name="M_PlaceofPath" hidden="1">"\\SNYCEQT0100\HOME\DANDERS\COMPANY\IGT\IGT_VDF.xls"</definedName>
    <definedName name="Macro10">#REF!</definedName>
    <definedName name="Macro16">#REF!</definedName>
    <definedName name="Macro17">#REF!</definedName>
    <definedName name="Macro3">#REF!</definedName>
    <definedName name="Macro4">#REF!</definedName>
    <definedName name="Macro5">#REF!</definedName>
    <definedName name="Macro6">#REF!</definedName>
    <definedName name="Macro7">#REF!</definedName>
    <definedName name="Macro8">#REF!</definedName>
    <definedName name="Macro9">#REF!</definedName>
    <definedName name="main">#REF!</definedName>
    <definedName name="maint">#REF!</definedName>
    <definedName name="Manager">#REF!</definedName>
    <definedName name="manfee">#REF!</definedName>
    <definedName name="manufactured_homes">#REF!</definedName>
    <definedName name="MAR">#REF!</definedName>
    <definedName name="MARCH">#REF!</definedName>
    <definedName name="marché" hidden="1">{"tableau a",#N/A,FALSE,"Feuil3";"tableau b",#N/A,FALSE,"Feuil3"}</definedName>
    <definedName name="MarEndDate">#REF!</definedName>
    <definedName name="market">#REF!</definedName>
    <definedName name="Market_Projections_Occupancy_Rates">#REF!</definedName>
    <definedName name="market_rate_area">#REF!</definedName>
    <definedName name="market_rate_units">#REF!</definedName>
    <definedName name="market_rent_psf">#REF!</definedName>
    <definedName name="MARKET_SHARE">#REF!</definedName>
    <definedName name="MarketCapitalization">#REF!</definedName>
    <definedName name="MarketingExpense">#REF!</definedName>
    <definedName name="MarketPrice">#REF!</definedName>
    <definedName name="MARKETRENT">#REF!</definedName>
    <definedName name="MARKETTYPELIST">#REF!</definedName>
    <definedName name="masterblock">#REF!</definedName>
    <definedName name="masterlot">#REF!</definedName>
    <definedName name="Match">#REF!</definedName>
    <definedName name="matrices" hidden="1">{#N/A,#N/A,FALSE,"Assumptions";#N/A,#N/A,FALSE,"Consol CF";#N/A,#N/A,FALSE,"matx B4 DS";#N/A,#N/A,FALSE,"Hacienda CF";#N/A,#N/A,FALSE,"matx B4 DS Hac";#N/A,#N/A,FALSE,"Chabot CF";#N/A,#N/A,FALSE,"matx B4 DS Chabot";#N/A,#N/A,FALSE,"Diablo CF";#N/A,#N/A,FALSE,"matx B4 DS Diablo"}</definedName>
    <definedName name="matricies" hidden="1">{#N/A,#N/A,FALSE,"matx B4 DS";#N/A,#N/A,FALSE,"matx B4 DS Hac";#N/A,#N/A,FALSE,"matx B4 DS Chabot";#N/A,#N/A,FALSE,"matx B4 DS Diablo"}</definedName>
    <definedName name="MAX">#REF!</definedName>
    <definedName name="max_sf">#REF!</definedName>
    <definedName name="maxloan">#REF!</definedName>
    <definedName name="MAY">#REF!</definedName>
    <definedName name="MayEndDate">#REF!</definedName>
    <definedName name="mbrACCOUNT">#REF!</definedName>
    <definedName name="mbrAPP">#REF!</definedName>
    <definedName name="mbrBUSINESSUNIT">#REF!</definedName>
    <definedName name="mbrCATEGORY">#REF!</definedName>
    <definedName name="mbrDATASRC">#REF!</definedName>
    <definedName name="mbrDEPARTMENT">#REF!</definedName>
    <definedName name="mbrINTCO">#REF!</definedName>
    <definedName name="mbrMEASURES">#REF!</definedName>
    <definedName name="mbrRPTCURRENCY">#REF!</definedName>
    <definedName name="mbrTIME">#REF!</definedName>
    <definedName name="MC">#REF!</definedName>
    <definedName name="MECH1">#N/A</definedName>
    <definedName name="MECH3">#N/A</definedName>
    <definedName name="median_income">#REF!</definedName>
    <definedName name="MEDPRES">#REF!</definedName>
    <definedName name="MeetingSpace">#REF!</definedName>
    <definedName name="meg" hidden="1">#REF!</definedName>
    <definedName name="MENU1">#REF!</definedName>
    <definedName name="MENU10">#REF!</definedName>
    <definedName name="MENU11">#REF!</definedName>
    <definedName name="MENU2">#REF!</definedName>
    <definedName name="MENU3">#REF!</definedName>
    <definedName name="MenuKey">#REF!</definedName>
    <definedName name="merginfo">#REF!</definedName>
    <definedName name="Method_Actual_days_per_month_360">#REF!</definedName>
    <definedName name="Method_Actual_days_per_month_365">#REF!</definedName>
    <definedName name="METRO">#REF!</definedName>
    <definedName name="MEWarning" hidden="1">1</definedName>
    <definedName name="Mezz">#REF!</definedName>
    <definedName name="Mezz_debt_paydown">#REF!</definedName>
    <definedName name="Mezz_Int">#REF!</definedName>
    <definedName name="Mezz_Int_Rate">#REF!</definedName>
    <definedName name="Mezz_Int_Reserve">#REF!</definedName>
    <definedName name="Mezz_Loan_Amount">#REF!</definedName>
    <definedName name="MezzAccR">#REF!</definedName>
    <definedName name="MezzAmort">#REF!</definedName>
    <definedName name="MezzAmortStart">#REF!</definedName>
    <definedName name="MezzAmount">#REF!</definedName>
    <definedName name="Mezzanine_Financing_Proceeds">#REF!</definedName>
    <definedName name="mezzanine_rate">#REF!</definedName>
    <definedName name="MezzDebtStructure">#REF!</definedName>
    <definedName name="MezzDiscRate">#REF!</definedName>
    <definedName name="MezzDiscRateAT">#REF!</definedName>
    <definedName name="mezzint">#REF!</definedName>
    <definedName name="MezzInterestCmpd?">#REF!</definedName>
    <definedName name="mezzloan">#REF!</definedName>
    <definedName name="MezzLoanAmount">#REF!</definedName>
    <definedName name="mezzpref">#REF!</definedName>
    <definedName name="mezzrate">#REF!</definedName>
    <definedName name="MezzTerm">#REF!</definedName>
    <definedName name="mf">#REF!</definedName>
    <definedName name="MGHM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MgmtCostCeiling">#REF!</definedName>
    <definedName name="MgmtCostFloor">#REF!</definedName>
    <definedName name="MgmtCostVariable">#REF!</definedName>
    <definedName name="MgmtDiscRate">#REF!</definedName>
    <definedName name="MgmtFee">#REF!</definedName>
    <definedName name="MgmtFeeExpense">#REF!</definedName>
    <definedName name="MgtEx">#REF!</definedName>
    <definedName name="mhj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mincash">#REF!</definedName>
    <definedName name="MinDSCYr1">#REF!</definedName>
    <definedName name="MINGAIN">#REF!</definedName>
    <definedName name="MINGAIN2">#REF!</definedName>
    <definedName name="Minimum_Cash">#REF!</definedName>
    <definedName name="mininvest">#REF!</definedName>
    <definedName name="MinorityInterest">#REF!</definedName>
    <definedName name="MinorityInterestInIncome">#REF!</definedName>
    <definedName name="MISC">#REF!</definedName>
    <definedName name="misclease">#REF!</definedName>
    <definedName name="MIX">#REF!</definedName>
    <definedName name="mixedoandi">#REF!</definedName>
    <definedName name="MKK" localSheetId="2" hidden="1">{"'下期集計（10.27迄・速報値）'!$Q$16"}</definedName>
    <definedName name="MKK" hidden="1">{"'下期集計（10.27迄・速報値）'!$Q$16"}</definedName>
    <definedName name="MKT">#REF!</definedName>
    <definedName name="MktUnits">#REF!</definedName>
    <definedName name="mm" hidden="1">{#N/A,#N/A,FALSE,"1Summary";#N/A,#N/A,FALSE,"2Assumptions";#N/A,#N/A,FALSE,"3Cash Flow";#N/A,#N/A,FALSE,"4Return of Investment Chart";#N/A,#N/A,FALSE,"5Year 1 Reconciliation";#N/A,#N/A,FALSE,"6Residual";#N/A,#N/A,FALSE,"7Pricing Matrix";#N/A,#N/A,FALSE,"8Vacancy Matrix";#N/A,#N/A,FALSE,"9Vacancy Chart";#N/A,#N/A,FALSE,"AExpiration Schedule";#N/A,#N/A,FALSE,"BExpiration Chart";#N/A,#N/A,FALSE,"CLease-up Schedule";#N/A,#N/A,FALSE,"DWeighted Average Calculation"}</definedName>
    <definedName name="mmmm" localSheetId="2" hidden="1">{#N/A,#N/A,FALSE,"P&amp;L";#N/A,#N/A,FALSE,"Var_Fixed_cost"}</definedName>
    <definedName name="mmmm" hidden="1">{#N/A,#N/A,FALSE,"P&amp;L";#N/A,#N/A,FALSE,"Var_Fixed_cost"}</definedName>
    <definedName name="MODEL">#REF!</definedName>
    <definedName name="MODEL_PICK">#REF!</definedName>
    <definedName name="MOIRR1">#REF!</definedName>
    <definedName name="MOIRR2">#REF!</definedName>
    <definedName name="MOIRR3">#REF!</definedName>
    <definedName name="MOIRR4">#REF!</definedName>
    <definedName name="MOIRR5">#REF!</definedName>
    <definedName name="monday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mondayjvcopy" hidden="1">{"View1",#N/A,FALSE,"Sheet1";"View2",#N/A,FALSE,"Sheet1"}</definedName>
    <definedName name="mondaypark" hidden="1">{"View1",#N/A,FALSE,"Sheet1";"View2",#N/A,FALSE,"Sheet1"}</definedName>
    <definedName name="mondaytest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Month">"JANUARY"</definedName>
    <definedName name="MONTHLY">#REF!</definedName>
    <definedName name="Monthly_inputs">#REF!</definedName>
    <definedName name="Monthly1">#REF!</definedName>
    <definedName name="Monthly2">#REF!</definedName>
    <definedName name="MONTHLY3">#REF!</definedName>
    <definedName name="MONTHLY4">#REF!</definedName>
    <definedName name="MONTHLY5">#REF!</definedName>
    <definedName name="MONTHLYCFLOW">#REF!</definedName>
    <definedName name="MONTHLYR">#REF!</definedName>
    <definedName name="MONTHLYR2">#REF!</definedName>
    <definedName name="MONTHLYR3">#REF!</definedName>
    <definedName name="MONTHLYR4">#REF!</definedName>
    <definedName name="MONTHLYR5">#REF!</definedName>
    <definedName name="MONTHLYR6">#REF!</definedName>
    <definedName name="Months">#REF!</definedName>
    <definedName name="Moody">#REF!</definedName>
    <definedName name="mort_amort">#REF!</definedName>
    <definedName name="mort_amount">#REF!</definedName>
    <definedName name="mort_term">#REF!</definedName>
    <definedName name="MortEquity">#REF!</definedName>
    <definedName name="Mortgage_Term">#REF!</definedName>
    <definedName name="MOS">#REF!</definedName>
    <definedName name="moti">#REF!</definedName>
    <definedName name="mp">#REF!</definedName>
    <definedName name="MPShare">#REF!</definedName>
    <definedName name="MRG" hidden="1">{"INCOME",#N/A,FALSE,"ProNet";"VALUE",#N/A,FALSE,"ProNet"}</definedName>
    <definedName name="mrt">#REF!</definedName>
    <definedName name="MSREF">#REF!</definedName>
    <definedName name="mtg">#REF!</definedName>
    <definedName name="Mult">#REF!</definedName>
    <definedName name="mult_sen">#REF!</definedName>
    <definedName name="Mult2">#REF!</definedName>
    <definedName name="multiple">#REF!</definedName>
    <definedName name="N">#REF!</definedName>
    <definedName name="NADComps">#REF!</definedName>
    <definedName name="NAME">#REF!</definedName>
    <definedName name="NAME1">#REF!</definedName>
    <definedName name="NAMES">#REF!</definedName>
    <definedName name="Narrative_Appraisal">#REF!</definedName>
    <definedName name="Narrative_BE">#REF!</definedName>
    <definedName name="Narrative_Conditions">#REF!</definedName>
    <definedName name="Narrative_Environmental">#REF!</definedName>
    <definedName name="Narrative_ExitStrat">#REF!</definedName>
    <definedName name="Narrative_Insurance">#REF!</definedName>
    <definedName name="Narrative_KP1">#REF!</definedName>
    <definedName name="Narrative_KP2">#REF!</definedName>
    <definedName name="Narrative_KP3">#REF!</definedName>
    <definedName name="Narrative_Market">#REF!</definedName>
    <definedName name="Narrative_NOI">#REF!</definedName>
    <definedName name="Narrative_PNA">#REF!</definedName>
    <definedName name="Narrative_Princ1">#REF!</definedName>
    <definedName name="Narrative_Princ2">#REF!</definedName>
    <definedName name="Narrative_Princ3">#REF!</definedName>
    <definedName name="Narrative_Princ4">#REF!</definedName>
    <definedName name="Narrative_Princ5">#REF!</definedName>
    <definedName name="Narrative_PropMgmnt">#REF!</definedName>
    <definedName name="Narrative_RETaxes">#REF!</definedName>
    <definedName name="Narrative_S_and_U">#REF!</definedName>
    <definedName name="Narrative_Set">#REF!</definedName>
    <definedName name="Narrative_Site_Zoning">#REF!</definedName>
    <definedName name="Narrative_Strengths_Risks">#REF!</definedName>
    <definedName name="Narrative_TenantProfile">#REF!</definedName>
    <definedName name="Narrative_UW_Expenese">#REF!</definedName>
    <definedName name="Narrative_UW_Revenues">#REF!</definedName>
    <definedName name="Narrative_Waivers">#REF!</definedName>
    <definedName name="NCAREA">#REF!</definedName>
    <definedName name="ncf">#REF!</definedName>
    <definedName name="NET_OPERATING_INCOME">#REF!</definedName>
    <definedName name="net_rentable_residential">#REF!</definedName>
    <definedName name="Net_Saleable_Residential">#REF!</definedName>
    <definedName name="NetDebt">#REF!</definedName>
    <definedName name="netdebt1">#REF!</definedName>
    <definedName name="NetDebtBookCapitalization">#REF!</definedName>
    <definedName name="NetDebtEBITDA">#REF!</definedName>
    <definedName name="NetIncomeToCommon">#REF!</definedName>
    <definedName name="NetIncomeToCommonGrowth">#REF!</definedName>
    <definedName name="NetIncomeToCommonMargin">#REF!</definedName>
    <definedName name="NETLAND">#REF!</definedName>
    <definedName name="NetProceeds">#REF!</definedName>
    <definedName name="NetPropertyPlantAndEquipment">#REF!</definedName>
    <definedName name="NetPurchasePrice">#REF!</definedName>
    <definedName name="NetRevenues">#REF!</definedName>
    <definedName name="NetRevenuesGrowth">#REF!</definedName>
    <definedName name="NetRSF">#REF!</definedName>
    <definedName name="netsale">#REF!</definedName>
    <definedName name="netsf">#REF!</definedName>
    <definedName name="NetWorkingCapital">#REF!</definedName>
    <definedName name="NetWorkingCapitalMargin">#REF!</definedName>
    <definedName name="new">#REF!</definedName>
    <definedName name="New_Account">#REF!</definedName>
    <definedName name="New_Mortgage">#REF!</definedName>
    <definedName name="NEWASS">#REF!</definedName>
    <definedName name="NEWDAY">#REF!</definedName>
    <definedName name="NewEquity">#REF!</definedName>
    <definedName name="NewEquityYr5">#REF!</definedName>
    <definedName name="NewMortgage">#REF!</definedName>
    <definedName name="NewMtg">#REF!</definedName>
    <definedName name="NewR_Mortgage">#REF!</definedName>
    <definedName name="newrange" hidden="1">{"Annual Cash Flows",#N/A,FALSE,"Annual Summary"}</definedName>
    <definedName name="NewSub100">#REF!</definedName>
    <definedName name="NewTaxGW">#REF!</definedName>
    <definedName name="NewTaxIntangibles">#REF!</definedName>
    <definedName name="newtotal">#REF!</definedName>
    <definedName name="NEXTD">#REF!</definedName>
    <definedName name="ngfa">#REF!</definedName>
    <definedName name="NGMV">#REF!</definedName>
    <definedName name="ni_mult">#REF!</definedName>
    <definedName name="ni_mult_sen">#REF!</definedName>
    <definedName name="ni_mult1">#REF!</definedName>
    <definedName name="ni_mult2">#REF!</definedName>
    <definedName name="ni_mult3">#REF!</definedName>
    <definedName name="ni_mult4">#REF!</definedName>
    <definedName name="ni_mult5">#REF!</definedName>
    <definedName name="ni_terminal">#REF!</definedName>
    <definedName name="NINE">#REF!</definedName>
    <definedName name="NISSAN">#REF!</definedName>
    <definedName name="NItoEquity">#REF!</definedName>
    <definedName name="NJTextra">#REF!</definedName>
    <definedName name="NJTspaces">#REF!</definedName>
    <definedName name="nnn" hidden="1">{#N/A,#N/A,FALSE,"CCC Variance";#N/A,#N/A,FALSE,"CCC Notes"}</definedName>
    <definedName name="nnnn" hidden="1">{#N/A,#N/A,FALSE,"A";#N/A,#N/A,FALSE,"C"}</definedName>
    <definedName name="nnnnnnn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nnnnnnnnnnnnnnnnnnn" hidden="1">{"LIBOR",#N/A,TRUE,"Model";"Caps",#N/A,TRUE,"Model";"Assets",#N/A,TRUE,"Model";"Liabilities",#N/A,TRUE,"Model";"Tests",#N/A,TRUE,"Model";"Results",#N/A,TRUE,"Model"}</definedName>
    <definedName name="no" hidden="1">{#N/A,#N/A,FALSE,"Expense Detail ";#N/A,#N/A,FALSE,"Worksheet";#N/A,#N/A,FALSE,"Audit";#N/A,#N/A,FALSE,"Exclusions";#N/A,#N/A,FALSE,"Variance";#N/A,#N/A,FALSE,"Reconciliation"}</definedName>
    <definedName name="NO_KEYS">#REF!</definedName>
    <definedName name="no_of_payment">#REF!</definedName>
    <definedName name="no_of_payments">#REF!</definedName>
    <definedName name="NOI">#REF!</definedName>
    <definedName name="noi_incr">#REF!</definedName>
    <definedName name="noi_table">#REF!</definedName>
    <definedName name="noijnio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NOILender">#REF!</definedName>
    <definedName name="Nominal">#REF!</definedName>
    <definedName name="NonCashInterestExpense">#REF!</definedName>
    <definedName name="North_pmts">OFFSET(#REF!,0,0,COUNT(#REF!),1)</definedName>
    <definedName name="NOT_CROSSED">#REF!</definedName>
    <definedName name="NOTES">#REF!</definedName>
    <definedName name="NOV">#REF!</definedName>
    <definedName name="NOVEMBER">#REF!</definedName>
    <definedName name="NovEndDate">#REF!</definedName>
    <definedName name="NOW">#REF!</definedName>
    <definedName name="npv">#REF!</definedName>
    <definedName name="NPVandIRRDate">#REF!</definedName>
    <definedName name="nra">#REF!</definedName>
    <definedName name="NRSF">#REF!</definedName>
    <definedName name="Nrth_mthly">OFFSET(#REF!,0,0,1,COUNT(#REF!))</definedName>
    <definedName name="nsf">#REF!</definedName>
    <definedName name="nuevo" hidden="1">5</definedName>
    <definedName name="NUM_HOTEL">#REF!</definedName>
    <definedName name="Num_Pmt_Per_Year">#REF!</definedName>
    <definedName name="NumApts">#REF!</definedName>
    <definedName name="Number_Of_Days">#REF!</definedName>
    <definedName name="Number_of_Payments">MATCH(0.01,End_Bal,-1)+2</definedName>
    <definedName name="Number1BR">#REF!</definedName>
    <definedName name="Number1BR8020">#REF!</definedName>
    <definedName name="Number1BRVLI">#REF!</definedName>
    <definedName name="Number2BR">#REF!</definedName>
    <definedName name="Number2BR8020">#REF!</definedName>
    <definedName name="Number2BRVLI">#REF!</definedName>
    <definedName name="Number3BR">#REF!</definedName>
    <definedName name="NumberSpaces">#REF!</definedName>
    <definedName name="NumberStudio">#REF!</definedName>
    <definedName name="NumberStudio8020">#REF!</definedName>
    <definedName name="NumberStudioVLI">#REF!</definedName>
    <definedName name="numOwnedPeriods">#REF!</definedName>
    <definedName name="NvsASD">"V2003-12-31"</definedName>
    <definedName name="NvsAutoDrillOk">"VN"</definedName>
    <definedName name="NvsElapsedTime">0.0000214120373129845</definedName>
    <definedName name="NvsEndTime">37749.4097003472</definedName>
    <definedName name="NvsInstanceHook">"="</definedName>
    <definedName name="NvsInstLang">"VENG"</definedName>
    <definedName name="NvsInstSpec">"%,FPROJECT_ID,V04NY013"</definedName>
    <definedName name="NvsInstSpec1">","</definedName>
    <definedName name="NvsInstSpec2">","</definedName>
    <definedName name="NvsInstSpec3">","</definedName>
    <definedName name="NvsInstSpec4">","</definedName>
    <definedName name="NvsInstSpec5">","</definedName>
    <definedName name="NvsInstSpec6">","</definedName>
    <definedName name="NvsInstSpec7">","</definedName>
    <definedName name="NvsInstSpec8">","</definedName>
    <definedName name="NvsInstSpec9">","</definedName>
    <definedName name="NvsLayoutType">"M3"</definedName>
    <definedName name="NvsNplSpec">"%,X,RZF..,CZF.."</definedName>
    <definedName name="NvsPanelBusUnit">"V"</definedName>
    <definedName name="NvsPanelEffdt">"V2002-05-01"</definedName>
    <definedName name="NvsPanelSetid">"V04000"</definedName>
    <definedName name="NvsReqBU">"V04000"</definedName>
    <definedName name="NvsReqBUOnly">"VN"</definedName>
    <definedName name="NvsTransLed">"VN"</definedName>
    <definedName name="NvsTreeASD">"V2003-12-31"</definedName>
    <definedName name="NvsValTbl.ACCOUNT">"GL_ACCOUNT_TBL"</definedName>
    <definedName name="NvsValTbl.CURRENCY_CD">"CURRENCY_CD_TBL"</definedName>
    <definedName name="NvsValTbl.DEPTID">"DEPARTMENT_TBL"</definedName>
    <definedName name="NvsValTbl.PROJECT_ID">"PROJECT_VW"</definedName>
    <definedName name="NvsValTbl.SCENARIO">"BD_SCENARIO_TBL"</definedName>
    <definedName name="NvsValTbl.STATISTICS_CODE">"STAT_TBL"</definedName>
    <definedName name="O">#REF!</definedName>
    <definedName name="OAR">#REF!</definedName>
    <definedName name="Occ">#REF!</definedName>
    <definedName name="Occ_Spread">#REF!</definedName>
    <definedName name="OCC_STR">#REF!</definedName>
    <definedName name="OccRateProj">#REF!</definedName>
    <definedName name="OccRooms">#REF!</definedName>
    <definedName name="OccSensitivity">#REF!</definedName>
    <definedName name="Occupancy">#REF!</definedName>
    <definedName name="OccupiedRooms">#REF!</definedName>
    <definedName name="OCL" hidden="1">{#N/A,#N/A,FALSE,"Schedule A";#N/A,#N/A,FALSE,"Schedule B";#N/A,#N/A,FALSE,"Schedule C";#N/A,#N/A,FALSE,"Schedule D";#N/A,#N/A,FALSE,"Schedule E";#N/A,#N/A,FALSE,"Schedule F";#N/A,#N/A,FALSE,"Schedule G";#N/A,#N/A,FALSE,"Schedule H";#N/A,#N/A,FALSE,"Schedule I";#N/A,#N/A,FALSE,"Schedule J"}</definedName>
    <definedName name="OCRM">#REF!</definedName>
    <definedName name="ocsf">#REF!</definedName>
    <definedName name="OCT">#REF!</definedName>
    <definedName name="OctEndDate">#REF!</definedName>
    <definedName name="OCTOBER">#REF!</definedName>
    <definedName name="oe">#REF!</definedName>
    <definedName name="oeq">#REF!</definedName>
    <definedName name="office">#REF!</definedName>
    <definedName name="office1" localSheetId="2" hidden="1">{#N/A,#N/A,FALSE,"Cashflow Analysis";#N/A,#N/A,FALSE,"Sensitivity Analysis";#N/A,#N/A,FALSE,"PV";#N/A,#N/A,FALSE,"Pro Forma"}</definedName>
    <definedName name="office1" hidden="1">{#N/A,#N/A,FALSE,"Cashflow Analysis";#N/A,#N/A,FALSE,"Sensitivity Analysis";#N/A,#N/A,FALSE,"PV";#N/A,#N/A,FALSE,"Pro Forma"}</definedName>
    <definedName name="OHP">#REF!</definedName>
    <definedName name="OIL">#REF!</definedName>
    <definedName name="old" hidden="1">#REF!</definedName>
    <definedName name="OldDateStamp" hidden="1">#REF!</definedName>
    <definedName name="oldfile2" hidden="1">{#N/A,#N/A,FALSE,"Summary";#N/A,#N/A,FALSE,"Buckets";#N/A,#N/A,FALSE,"Northstar";#N/A,#N/A,FALSE,"Comp"}</definedName>
    <definedName name="oldkill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oldkill2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oldkill3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oldnew">#REF!</definedName>
    <definedName name="One" hidden="1">{#N/A,#N/A,FALSE,"Consol CF";#N/A,#N/A,FALSE,"matx B4 DS";#N/A,#N/A,FALSE,"Hacienda CF";#N/A,#N/A,FALSE,"matx B4 DS Hac";#N/A,#N/A,FALSE,"Chabot CF";#N/A,#N/A,FALSE,"matx B4 DS Chabot";#N/A,#N/A,FALSE,"Diablo CF";#N/A,#N/A,FALSE,"matx B4 DS Diablo";#N/A,#N/A,FALSE,"HAC2-CF";#N/A,#N/A,FALSE,"HAC3-CF";#N/A,#N/A,FALSE,"HAC4-CF";#N/A,#N/A,FALSE,"HAC5-CF";#N/A,#N/A,FALSE,"HAC6-CF";#N/A,#N/A,FALSE,"HAC7-CF";#N/A,#N/A,FALSE,"HAC8-CF";#N/A,#N/A,FALSE,"HAC9-CF";#N/A,#N/A,FALSE,"HA10-CF"}</definedName>
    <definedName name="one_mo_LIBOR">#REF!</definedName>
    <definedName name="onethirteen">#REF!</definedName>
    <definedName name="oo" hidden="1">#REF!</definedName>
    <definedName name="Op_margin">#REF!</definedName>
    <definedName name="OPDATE">#REF!</definedName>
    <definedName name="OpeningDate">#REF!</definedName>
    <definedName name="oper_exp_sf">#REF!</definedName>
    <definedName name="operating_exp_psf">#REF!</definedName>
    <definedName name="opexpgrwth">#REF!</definedName>
    <definedName name="OpsApprovers">#REF!</definedName>
    <definedName name="OpStatDetail1">#REF!</definedName>
    <definedName name="OpStatDetail2">#REF!</definedName>
    <definedName name="OpStatDetail3">#REF!</definedName>
    <definedName name="OpStatDetail4">#REF!</definedName>
    <definedName name="OpStatDetail5">#REF!</definedName>
    <definedName name="OpStatDetail6">#REF!</definedName>
    <definedName name="OpStatDetail7">#REF!</definedName>
    <definedName name="OpStatDetail8">#REF!</definedName>
    <definedName name="OpStatDetail9">#REF!</definedName>
    <definedName name="OpStatSum1">#REF!</definedName>
    <definedName name="OpStatSum2">#REF!</definedName>
    <definedName name="OpStatSum3">#REF!</definedName>
    <definedName name="Option_Proceeds">#REF!</definedName>
    <definedName name="OptionPrice1">#REF!</definedName>
    <definedName name="OptionPrice2">#REF!</definedName>
    <definedName name="OptionPrice3">#REF!</definedName>
    <definedName name="OptionPrice4">#REF!</definedName>
    <definedName name="OptionProceeds">#REF!</definedName>
    <definedName name="options">#REF!</definedName>
    <definedName name="Options1">#REF!</definedName>
    <definedName name="Options2">#REF!</definedName>
    <definedName name="Options3">#REF!</definedName>
    <definedName name="Options4">#REF!</definedName>
    <definedName name="OptionsToggle">#REF!</definedName>
    <definedName name="Org_sub_division">""</definedName>
    <definedName name="orig">#REF!</definedName>
    <definedName name="origs">#REF!</definedName>
    <definedName name="OrigTaxAssessment">#REF!</definedName>
    <definedName name="osf">#REF!</definedName>
    <definedName name="OTHER">#REF!</definedName>
    <definedName name="OtherA">#REF!</definedName>
    <definedName name="OtherB">#REF!</definedName>
    <definedName name="OtherCurrentAssets">#REF!</definedName>
    <definedName name="OtherCurrentLiabilities">#REF!</definedName>
    <definedName name="OtherExp1">#REF!</definedName>
    <definedName name="OtherExp2">#REF!</definedName>
    <definedName name="OtherIncExpense">#REF!</definedName>
    <definedName name="OtherIncome">#REF!</definedName>
    <definedName name="OtherLabel1">#REF!</definedName>
    <definedName name="OtherLabel2">#REF!</definedName>
    <definedName name="OtherLabel3">#REF!</definedName>
    <definedName name="OtherLongTermAssets">#REF!</definedName>
    <definedName name="OtherLongTermLiabilities">#REF!</definedName>
    <definedName name="OtherNonCashItems">#REF!</definedName>
    <definedName name="OtherNonOperatingExpense">#REF!</definedName>
    <definedName name="OtherOperatingExpense">#REF!</definedName>
    <definedName name="OtherRev1">#REF!</definedName>
    <definedName name="OtherRev2">#REF!</definedName>
    <definedName name="OtherRev3">#REF!</definedName>
    <definedName name="othinc">#REF!</definedName>
    <definedName name="Output">#REF!</definedName>
    <definedName name="ov" hidden="1">{#N/A,#N/A,FALSE,"Common Area Accrual";#N/A,#N/A,FALSE,"Unit One LaSalle";#N/A,#N/A,FALSE,"Unit One CW";#N/A,#N/A,FALSE,"Unit One LaSalle + C &amp; W";#N/A,#N/A,FALSE,"Consolidated Accrual"}</definedName>
    <definedName name="OverallRates">#REF!</definedName>
    <definedName name="Owner">#REF!</definedName>
    <definedName name="owner_inc_share">#REF!</definedName>
    <definedName name="OwnerHold">#REF!</definedName>
    <definedName name="p" hidden="1">{"summary1",#N/A,TRUE,"Comps";"summary2",#N/A,TRUE,"Comps";"summary3",#N/A,TRUE,"Comps"}</definedName>
    <definedName name="P_ADR">#REF!</definedName>
    <definedName name="P_ADR2">#REF!</definedName>
    <definedName name="P_ALL">#REF!</definedName>
    <definedName name="p_Amort">#REF!</definedName>
    <definedName name="p_Assump">#REF!</definedName>
    <definedName name="p_BS">#REF!</definedName>
    <definedName name="p_CFS">#REF!</definedName>
    <definedName name="P_COMP">#REF!</definedName>
    <definedName name="P_COMP1">#REF!</definedName>
    <definedName name="P_COMP2">#REF!</definedName>
    <definedName name="p_ConvDebt">#REF!</definedName>
    <definedName name="p_ConvPref">#REF!</definedName>
    <definedName name="p_DCF">#REF!</definedName>
    <definedName name="p_DebtBreakdownA">#REF!</definedName>
    <definedName name="p_DebtBreakdownB">#REF!</definedName>
    <definedName name="p_DebtBreakdownC">#REF!</definedName>
    <definedName name="p_DebtBreakdownD">#REF!</definedName>
    <definedName name="p_DebtSummary">#REF!</definedName>
    <definedName name="P_DEMAND">#REF!</definedName>
    <definedName name="p_Depr">#REF!</definedName>
    <definedName name="p_DiscretionaryDebt">#REF!</definedName>
    <definedName name="p_EVA">#REF!</definedName>
    <definedName name="p_FirmValue">#REF!</definedName>
    <definedName name="p_football">#REF!</definedName>
    <definedName name="p_highyield_BS">#REF!</definedName>
    <definedName name="p_highyield_CFS">#REF!</definedName>
    <definedName name="p_highyield_Depr">#REF!</definedName>
    <definedName name="p_highyield_FA">#REF!</definedName>
    <definedName name="p_highyield_IS">#REF!</definedName>
    <definedName name="p_highyield_Return">#REF!</definedName>
    <definedName name="p_highyield_to">#REF!</definedName>
    <definedName name="P_HIST_DEM">#REF!</definedName>
    <definedName name="P_HIST_PEN">#REF!</definedName>
    <definedName name="P_HISTOCC">#REF!</definedName>
    <definedName name="p_IncomeStatement">#REF!</definedName>
    <definedName name="p_Index">#REF!</definedName>
    <definedName name="p_InterestExp">#REF!</definedName>
    <definedName name="p_LBO_Amort">#REF!</definedName>
    <definedName name="p_LBO_BS">#REF!</definedName>
    <definedName name="p_LBO_BS_Adj">#REF!</definedName>
    <definedName name="p_LBO_CF">#REF!</definedName>
    <definedName name="p_LBO_Debt">#REF!</definedName>
    <definedName name="p_LBO_DebtB">#REF!</definedName>
    <definedName name="p_LBO_IS">#REF!</definedName>
    <definedName name="p_LBO_returncalc">#REF!</definedName>
    <definedName name="p_LBO_returncalcb">#REF!</definedName>
    <definedName name="p_LBO_Returns">#REF!</definedName>
    <definedName name="p_LBO_SO">#REF!</definedName>
    <definedName name="p_LBO_Summary">#REF!</definedName>
    <definedName name="p_LBO_Tax">#REF!</definedName>
    <definedName name="p_LTM_BS">#REF!</definedName>
    <definedName name="p_LTM_IS">#REF!</definedName>
    <definedName name="p_MandatoryDebt">#REF!</definedName>
    <definedName name="P_MONTHLY">#REF!</definedName>
    <definedName name="p_Options">#REF!</definedName>
    <definedName name="P_PEN">#REF!</definedName>
    <definedName name="p_Preferred">#REF!</definedName>
    <definedName name="p_Premium">#REF!</definedName>
    <definedName name="P_PRICE">#REF!</definedName>
    <definedName name="P_RMSREV">#REF!</definedName>
    <definedName name="p_SharesOutstanding">#REF!</definedName>
    <definedName name="p_stat">#REF!</definedName>
    <definedName name="P_STR">#REF!</definedName>
    <definedName name="P_SUB_PEN">#REF!</definedName>
    <definedName name="P_SUBJECT">#REF!</definedName>
    <definedName name="p_Sum">#REF!</definedName>
    <definedName name="p_Tax">#REF!</definedName>
    <definedName name="P_TITLE">#REF!</definedName>
    <definedName name="P1End">#REF!</definedName>
    <definedName name="P1Start">#REF!</definedName>
    <definedName name="P2End">#REF!</definedName>
    <definedName name="P2Start">#REF!</definedName>
    <definedName name="P3End">#REF!</definedName>
    <definedName name="P3Start">#REF!</definedName>
    <definedName name="P4End">#REF!</definedName>
    <definedName name="P4Start">#REF!</definedName>
    <definedName name="P5End">#REF!</definedName>
    <definedName name="P5Start">#REF!</definedName>
    <definedName name="P6End">#REF!</definedName>
    <definedName name="P6Start">#REF!</definedName>
    <definedName name="p8ujmmkk" hidden="1">#REF!</definedName>
    <definedName name="PAGE">#REF!</definedName>
    <definedName name="Page_Count">#REF!</definedName>
    <definedName name="page_o_charts">#REF!</definedName>
    <definedName name="PAGE1">#REF!</definedName>
    <definedName name="PAGE10">#REF!</definedName>
    <definedName name="PAGE10B">#REF!</definedName>
    <definedName name="PAGE12">#REF!</definedName>
    <definedName name="PAGE12B">#REF!</definedName>
    <definedName name="PAGE13">#REF!</definedName>
    <definedName name="PAGE13B">#REF!</definedName>
    <definedName name="PAGE14">#REF!</definedName>
    <definedName name="PAGE15">#REF!</definedName>
    <definedName name="PAGE16">#REF!</definedName>
    <definedName name="PAGE16B">#REF!</definedName>
    <definedName name="PAGE1A">#REF!</definedName>
    <definedName name="PAGE2">#REF!</definedName>
    <definedName name="PAGE3">#REF!</definedName>
    <definedName name="PAGE4">#REF!</definedName>
    <definedName name="PAGE5">#REF!</definedName>
    <definedName name="PAGE8">#REF!</definedName>
    <definedName name="PAGE8B">#REF!</definedName>
    <definedName name="PAGE9">#REF!</definedName>
    <definedName name="PAGE9B">#REF!</definedName>
    <definedName name="palisades" hidden="1">{#N/A,#N/A,FALSE,"WATCHDSC";#N/A,#N/A,FALSE,"2LOSSMOD";#N/A,#N/A,FALSE,"2LOSS";#N/A,#N/A,FALSE,"DSC";#N/A,#N/A,FALSE,"OPERAT";#N/A,#N/A,FALSE,"ADJUST";#N/A,#N/A,FALSE,"LEASE EXPIRE"}</definedName>
    <definedName name="Param_CumRent" hidden="1">#REF!</definedName>
    <definedName name="Param_CurrentDate" hidden="1">#REF!</definedName>
    <definedName name="Param_DRCredit" hidden="1">#REF!</definedName>
    <definedName name="Param_DRNonCredit" hidden="1">#REF!</definedName>
    <definedName name="Param_IncludeCPI" hidden="1">#REF!</definedName>
    <definedName name="Param_IncludePercentRent" hidden="1">#REF!</definedName>
    <definedName name="Param_IncludePW" hidden="1">#REF!</definedName>
    <definedName name="Param_Inclusion" hidden="1">#REF!</definedName>
    <definedName name="Param_PVAbatement" hidden="1">#REF!</definedName>
    <definedName name="Param_SLAbatement" hidden="1">#REF!</definedName>
    <definedName name="Param_VacMarket" hidden="1">#REF!</definedName>
    <definedName name="Param_VacRenew" hidden="1">#REF!</definedName>
    <definedName name="Param_VacVacate" hidden="1">#REF!</definedName>
    <definedName name="PARGrid">#REF!</definedName>
    <definedName name="PARGridHistoric">#REF!</definedName>
    <definedName name="PARGridMaxMin">#REF!</definedName>
    <definedName name="PARGridMaxMinUsable">#REF!</definedName>
    <definedName name="parkavecopy" hidden="1">{"View1",#N/A,FALSE,"Sheet1";"View2",#N/A,FALSE,"Sheet1"}</definedName>
    <definedName name="parkcopy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parking">#REF!</definedName>
    <definedName name="Parking_Analysis">#REF!</definedName>
    <definedName name="Parking_NOI">#REF!</definedName>
    <definedName name="Parking_Sensitivity">#REF!</definedName>
    <definedName name="parkjvcopy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parktest" hidden="1">{"View1",#N/A,FALSE,"Sheet1";"View2",#N/A,FALSE,"Sheet1"}</definedName>
    <definedName name="parktestave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Partner">#REF!</definedName>
    <definedName name="partnertier1">#REF!</definedName>
    <definedName name="partnertier2">#REF!</definedName>
    <definedName name="partnertier3">#REF!</definedName>
    <definedName name="partnertier4">#REF!</definedName>
    <definedName name="paste">#REF!</definedName>
    <definedName name="Paste_AdjReturnInv180">#REF!</definedName>
    <definedName name="Paste_AdjReturnInv182">#REF!</definedName>
    <definedName name="Paste_AdjReturnInv183">#REF!</definedName>
    <definedName name="Paste_AdjReturnInv184">#REF!</definedName>
    <definedName name="Paste_AdjReturnInv185">#REF!</definedName>
    <definedName name="Paste_AdjReturnInv280">#REF!</definedName>
    <definedName name="Paste_AdjReturnInv282">#REF!</definedName>
    <definedName name="Paste_AdjReturnInv283">#REF!</definedName>
    <definedName name="Paste_AdjReturnInv284">#REF!</definedName>
    <definedName name="Paste_AdjReturnInv285">#REF!</definedName>
    <definedName name="Paste_AdjReturnJV80">#REF!</definedName>
    <definedName name="Paste_AdjReturnJV82">#REF!</definedName>
    <definedName name="Paste_AdjReturnJV83">#REF!</definedName>
    <definedName name="Paste_AdjReturnJV84">#REF!</definedName>
    <definedName name="Paste_AdjReturnJV85">#REF!</definedName>
    <definedName name="Paste_Date">#REF!,#REF!,#REF!,#REF!,#REF!,#REF!,#REF!,#REF!,#REF!,#REF!,#REF!,#REF!,#REF!,#REF!,#REF!,#REF!</definedName>
    <definedName name="Paste_HIDE">#REF!</definedName>
    <definedName name="Paste_Hypo80">#REF!</definedName>
    <definedName name="Paste_Hypo82">#REF!</definedName>
    <definedName name="Paste_Hypo83">#REF!</definedName>
    <definedName name="Paste_Hypo84">#REF!</definedName>
    <definedName name="Paste_Hypo85">#REF!</definedName>
    <definedName name="Paste_HypoUnExit80">#REF!</definedName>
    <definedName name="Paste_HypoUnExit85">#REF!</definedName>
    <definedName name="Paste_HypoUnPrice">#REF!</definedName>
    <definedName name="Paste_HypoUnPrice80">#REF!</definedName>
    <definedName name="Paste_HypoUnPrice85">#REF!</definedName>
    <definedName name="Paste_Name">#REF!,#REF!,#REF!,#REF!,#REF!,#REF!,#REF!,#REF!,#REF!,#REF!,#REF!,#REF!,#REF!,#REF!,#REF!,#REF!</definedName>
    <definedName name="Paste_ReturnJV82">#REF!</definedName>
    <definedName name="Pay_Date">#REF!</definedName>
    <definedName name="Pay_Num">#REF!</definedName>
    <definedName name="Paymen">#REF!</definedName>
    <definedName name="Payment">#REF!</definedName>
    <definedName name="Payment_Date">DATE(YEAR(Loan_Start),MONTH(Loan_Start)+Payment_Number,DAY(Loan_Start))</definedName>
    <definedName name="Payroll1">#REF!</definedName>
    <definedName name="Payroll2">#REF!</definedName>
    <definedName name="Payroll3">#REF!</definedName>
    <definedName name="PC_PurchasePrice">#REF!</definedName>
    <definedName name="PC_Renovation">#REF!</definedName>
    <definedName name="PC_TotalProjectCost">#REF!</definedName>
    <definedName name="pct_rental_partic">#REF!</definedName>
    <definedName name="PDISCOUNT">#REF!</definedName>
    <definedName name="PDU">#REF!</definedName>
    <definedName name="pe">#REF!</definedName>
    <definedName name="Pen_Model_Wksht">#REF!</definedName>
    <definedName name="PENETRATE">#REF!</definedName>
    <definedName name="Penetration">#REF!</definedName>
    <definedName name="PERCENT">#REF!</definedName>
    <definedName name="percent_efficiency">#REF!</definedName>
    <definedName name="PercentGrid">#REF!</definedName>
    <definedName name="PercentGridHistoric">#REF!</definedName>
    <definedName name="PercentGridMaxMin">#REF!</definedName>
    <definedName name="PercentGridMaxMinUsable">#REF!</definedName>
    <definedName name="PERIO">#REF!</definedName>
    <definedName name="Period">#REF!</definedName>
    <definedName name="perm_loan_rate">#REF!</definedName>
    <definedName name="PERMANENTDEBT">#REF!</definedName>
    <definedName name="PermanentIR">#REF!</definedName>
    <definedName name="PermanentIRFullBonds">#REF!</definedName>
    <definedName name="PermanentLoan">#REF!</definedName>
    <definedName name="PermanentLoanFullBonds">#REF!</definedName>
    <definedName name="PERMFINANCE">#REF!</definedName>
    <definedName name="perp_lev">#REF!</definedName>
    <definedName name="perp_lev_sen">#REF!</definedName>
    <definedName name="perp_lev1">#REF!</definedName>
    <definedName name="perp_lev2">#REF!</definedName>
    <definedName name="perp_lev3">#REF!</definedName>
    <definedName name="perp_lev4">#REF!</definedName>
    <definedName name="perp_lev5">#REF!</definedName>
    <definedName name="perp_unlev">#REF!</definedName>
    <definedName name="perp_unlev_sen">#REF!</definedName>
    <definedName name="perp_unlev1">#REF!</definedName>
    <definedName name="perp_unlev2">#REF!</definedName>
    <definedName name="perp_unlev3">#REF!</definedName>
    <definedName name="perp_unlev4">#REF!</definedName>
    <definedName name="perp_unlev5">#REF!</definedName>
    <definedName name="personal">#REF!</definedName>
    <definedName name="PERSONNEL">#REF!</definedName>
    <definedName name="PEVA">#REF!</definedName>
    <definedName name="PF">#REF!</definedName>
    <definedName name="PFI">#REF!</definedName>
    <definedName name="PFQ">#REF!</definedName>
    <definedName name="phase_1_units">#REF!</definedName>
    <definedName name="phase1_land_cost">#REF!</definedName>
    <definedName name="phase1_lot_sz">#REF!</definedName>
    <definedName name="phase1_unit_sz">#REF!</definedName>
    <definedName name="PICK">#REF!</definedName>
    <definedName name="pier90" localSheetId="2" hidden="1">{"excavation",#N/A,FALSE,"DETAIL.XLS"}</definedName>
    <definedName name="pier90" hidden="1">{"excavation",#N/A,FALSE,"DETAIL.XLS"}</definedName>
    <definedName name="PivotData">#REF!</definedName>
    <definedName name="PJAM3Yr" hidden="1">{"INCOME",#N/A,FALSE,"ProNet";"VALUE",#N/A,FALSE,"ProNet"}</definedName>
    <definedName name="pjlag">#REF!</definedName>
    <definedName name="pjlagname">#REF!</definedName>
    <definedName name="pky" hidden="1">{#N/A,#N/A,FALSE,"A";#N/A,#N/A,FALSE,"B";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}</definedName>
    <definedName name="PL">#REF!</definedName>
    <definedName name="PL_Amortization">#REF!</definedName>
    <definedName name="PL_BasicSO">#REF!</definedName>
    <definedName name="PL_COGS">#REF!</definedName>
    <definedName name="PL_Convertible_Interest">#REF!</definedName>
    <definedName name="PL_Convertible_PDividend">#REF!</definedName>
    <definedName name="PL_Depreciation">#REF!</definedName>
    <definedName name="PL_Equity_Earnings">#REF!</definedName>
    <definedName name="PL_FDEPS">#REF!</definedName>
    <definedName name="PL_FDSO">#REF!</definedName>
    <definedName name="PL_Income_Taxes">#REF!</definedName>
    <definedName name="PL_Interest_Income">#REF!</definedName>
    <definedName name="PL_Loss_Debt">#REF!</definedName>
    <definedName name="PL_Loss_Preferred">#REF!</definedName>
    <definedName name="PL_Minority_NI">#REF!</definedName>
    <definedName name="PL_Non_Operating_Expenses">#REF!</definedName>
    <definedName name="PL_Operating_Expenses">#REF!</definedName>
    <definedName name="PL_Rent">#REF!</definedName>
    <definedName name="PL_Revenues">#REF!</definedName>
    <definedName name="PL_SGA">#REF!</definedName>
    <definedName name="PL_Straight_Interest">#REF!</definedName>
    <definedName name="PL_Straight_PDividend">#REF!</definedName>
    <definedName name="PL_XO">#REF!</definedName>
    <definedName name="platform" localSheetId="2" hidden="1">{#N/A,#N/A,TRUE,"Ericsson Stadium PCD ";#N/A,#N/A,TRUE,"Ericsson Stadium IOR"}</definedName>
    <definedName name="platform" hidden="1">{#N/A,#N/A,TRUE,"Ericsson Stadium PCD ";#N/A,#N/A,TRUE,"Ericsson Stadium IOR"}</definedName>
    <definedName name="platforma" localSheetId="2" hidden="1">{#N/A,#N/A,TRUE,"Ericsson Stadium PCD ";#N/A,#N/A,TRUE,"Ericsson Stadium IOR"}</definedName>
    <definedName name="platforma" hidden="1">{#N/A,#N/A,TRUE,"Ericsson Stadium PCD ";#N/A,#N/A,TRUE,"Ericsson Stadium IOR"}</definedName>
    <definedName name="PleasePrint">[0]!PleasePrint</definedName>
    <definedName name="plist">#REF!</definedName>
    <definedName name="plist2">#REF!</definedName>
    <definedName name="PLN€">#REF!</definedName>
    <definedName name="Ploan">#REF!</definedName>
    <definedName name="PLS_Address">#REF!</definedName>
    <definedName name="PLS_City">#REF!</definedName>
    <definedName name="PLS_County">#REF!</definedName>
    <definedName name="PLS_PropertyName">#REF!</definedName>
    <definedName name="PLS_State">#REF!</definedName>
    <definedName name="PLS_ZipCode">#REF!</definedName>
    <definedName name="PLUG">#REF!</definedName>
    <definedName name="PmtNo.">#REF!</definedName>
    <definedName name="PNTANNUAL">#REF!</definedName>
    <definedName name="PntArea">#REF!</definedName>
    <definedName name="PntProforma">#REF!</definedName>
    <definedName name="PNTQUAT">#REF!</definedName>
    <definedName name="POMExpense">#REF!</definedName>
    <definedName name="PORGrid">#REF!</definedName>
    <definedName name="PORGridHistoric">#REF!</definedName>
    <definedName name="PORGridMaxMin">#REF!</definedName>
    <definedName name="PORGridMaxMinUsable">#REF!</definedName>
    <definedName name="PORT">#REF!</definedName>
    <definedName name="Port_fill" hidden="1">#REF!</definedName>
    <definedName name="Port_Fill2" hidden="1">#REF!</definedName>
    <definedName name="PORT2">#REF!</definedName>
    <definedName name="pp">#REF!</definedName>
    <definedName name="ppp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ppplll" hidden="1">#REF!</definedName>
    <definedName name="ppppp">#REF!</definedName>
    <definedName name="pppppppp">#REF!</definedName>
    <definedName name="PPrice">#REF!</definedName>
    <definedName name="PPT" hidden="1">{#N/A,#N/A,FALSE,"Chart 2 by Prop Type"}</definedName>
    <definedName name="pr">#REF!</definedName>
    <definedName name="PRate">#REF!</definedName>
    <definedName name="pre_development">#REF!</definedName>
    <definedName name="Pre_Draw">#REF!</definedName>
    <definedName name="Pre_Draw_Month10">#REF!</definedName>
    <definedName name="Pre_Draw_Month11">#REF!</definedName>
    <definedName name="Pre_Draw_Month12">#REF!</definedName>
    <definedName name="Pre_Draw_Month13">#REF!</definedName>
    <definedName name="Pre_Draw_Month14">#REF!</definedName>
    <definedName name="Pre_Draw_Month15">#REF!</definedName>
    <definedName name="Pre_Draw_Month16">#REF!</definedName>
    <definedName name="Pre_Draw_Month17">#REF!</definedName>
    <definedName name="Pre_Draw_Month18">#REF!</definedName>
    <definedName name="Pre_Draw_Month19">#REF!</definedName>
    <definedName name="Pre_Draw_Month2">#REF!</definedName>
    <definedName name="Pre_Draw_Month20">#REF!</definedName>
    <definedName name="Pre_Draw_Month21">#REF!</definedName>
    <definedName name="Pre_Draw_Month22">#REF!</definedName>
    <definedName name="Pre_Draw_Month23">#REF!</definedName>
    <definedName name="Pre_Draw_Month24">#REF!</definedName>
    <definedName name="Pre_Draw_Month25">#REF!</definedName>
    <definedName name="Pre_Draw_Month26">#REF!</definedName>
    <definedName name="Pre_Draw_Month27">#REF!</definedName>
    <definedName name="Pre_Draw_Month28">#REF!</definedName>
    <definedName name="Pre_Draw_Month29">#REF!</definedName>
    <definedName name="Pre_Draw_Month3">#REF!</definedName>
    <definedName name="Pre_Draw_Month30">#REF!</definedName>
    <definedName name="Pre_Draw_Month4">#REF!</definedName>
    <definedName name="Pre_Draw_Month5">#REF!</definedName>
    <definedName name="Pre_Draw_Month6">#REF!</definedName>
    <definedName name="Pre_Draw_Month7">#REF!</definedName>
    <definedName name="Pre_Draw_Month8">#REF!</definedName>
    <definedName name="Pre_Draw_Month9">#REF!</definedName>
    <definedName name="Pre_Draw_Use12">#REF!</definedName>
    <definedName name="Pre_Draw_Use13">#REF!</definedName>
    <definedName name="Pre_Draw_Use14">#REF!</definedName>
    <definedName name="Pre_Draw_Use15">#REF!</definedName>
    <definedName name="Pre_Draw_Use16">#REF!</definedName>
    <definedName name="Pre_Draw_Use17">#REF!</definedName>
    <definedName name="Pre_Draw_Use18">#REF!</definedName>
    <definedName name="Pre_Draw_Use19">#REF!</definedName>
    <definedName name="Pre_Draw_Use20">#REF!</definedName>
    <definedName name="Pre_Draw_Use21">#REF!</definedName>
    <definedName name="Pre_Draw_Use22">#REF!</definedName>
    <definedName name="Pre_Draw_Use23">#REF!</definedName>
    <definedName name="Pre_Draw_Use24">#REF!</definedName>
    <definedName name="Pre_Draw_Use25">#REF!</definedName>
    <definedName name="Pre_Draw_Use26">#REF!</definedName>
    <definedName name="Pre_Draw_Use27">#REF!</definedName>
    <definedName name="Pre_Draw_Use28">#REF!</definedName>
    <definedName name="Pre_Draw_Use29">#REF!</definedName>
    <definedName name="Pre_Draw_Use30">#REF!</definedName>
    <definedName name="Pre_Draw_Use31">#REF!</definedName>
    <definedName name="Pre_Draw_Use32">#REF!</definedName>
    <definedName name="Pre_Draw_Use33">#REF!</definedName>
    <definedName name="Pre_Draw_Use34">#REF!</definedName>
    <definedName name="Pre_Draw_Use35">#REF!</definedName>
    <definedName name="PrecedentAnalysis">#REF!</definedName>
    <definedName name="Pref">#REF!</definedName>
    <definedName name="pref_rate">#REF!</definedName>
    <definedName name="PreferredConvertPrice1">#REF!</definedName>
    <definedName name="PreferredConvertPrice2">#REF!</definedName>
    <definedName name="PreferredDividendsPaid">#REF!</definedName>
    <definedName name="PreferredToggle">#REF!</definedName>
    <definedName name="prefrate">#REF!</definedName>
    <definedName name="Premium">#REF!</definedName>
    <definedName name="PREMPRICE">#REF!</definedName>
    <definedName name="PreparedBy">#REF!</definedName>
    <definedName name="Prepay">#REF!</definedName>
    <definedName name="Present_Value">#REF!</definedName>
    <definedName name="PresentationNormalA4">#REF!</definedName>
    <definedName name="pretaxall">#REF!</definedName>
    <definedName name="PretaxIncome">#REF!</definedName>
    <definedName name="PretaxInterestCoverage">#REF!</definedName>
    <definedName name="PreTaxItems">#REF!</definedName>
    <definedName name="Price_Justification_Add">#REF!</definedName>
    <definedName name="Price_Justification_Hide">#REF!</definedName>
    <definedName name="Price_Mortage">#REF!</definedName>
    <definedName name="Price_Mortgage">#REF!</definedName>
    <definedName name="PriceA">#REF!</definedName>
    <definedName name="PriceActualEPS0">#REF!</definedName>
    <definedName name="PriceActualEPS1">#REF!</definedName>
    <definedName name="PriceActualEPS2">#REF!</definedName>
    <definedName name="PriceActualEPS3">#REF!</definedName>
    <definedName name="PriceActualFFPS0">#REF!</definedName>
    <definedName name="PriceActualFFPS1">#REF!</definedName>
    <definedName name="PriceActualFFPS2">#REF!</definedName>
    <definedName name="PriceActualFFPS3">#REF!</definedName>
    <definedName name="PriceB">#REF!</definedName>
    <definedName name="PriceBookValuePerShare">#REF!</definedName>
    <definedName name="PriceCalendarEPS1">#REF!</definedName>
    <definedName name="PriceCalendarEPS2">#REF!</definedName>
    <definedName name="PriceCalendarEPS3">#REF!</definedName>
    <definedName name="PriceCalendarFFPS1">#REF!</definedName>
    <definedName name="PriceCalendarFFPS2">#REF!</definedName>
    <definedName name="PriceCalendarFFPS3">#REF!</definedName>
    <definedName name="PriceDateA">#REF!</definedName>
    <definedName name="PriceDateB">#REF!</definedName>
    <definedName name="PriceTangibleBVPerShare">#REF!</definedName>
    <definedName name="PrimaryEPS">#REF!</definedName>
    <definedName name="PrimaryEPSGrowth">#REF!</definedName>
    <definedName name="PrimaryWeightedAverageShares">#REF!</definedName>
    <definedName name="prime">#REF!</definedName>
    <definedName name="princ">#REF!</definedName>
    <definedName name="Principa">#REF!</definedName>
    <definedName name="Principal">#REF!</definedName>
    <definedName name="Print" hidden="1">{#N/A,#N/A,TRUE,"Cover";#N/A,#N/A,TRUE,"Stack";#N/A,#N/A,TRUE,"Cost S";#N/A,#N/A,TRUE,"Financing";#N/A,#N/A,TRUE," CF";#N/A,#N/A,TRUE,"CF Mnthly";#N/A,#N/A,TRUE,"CF assum";#N/A,#N/A,TRUE,"Unit Sales";#N/A,#N/A,TRUE,"REV";#N/A,#N/A,TRUE,"Bdgt Backup"}</definedName>
    <definedName name="_xlnm.Print_Area" localSheetId="5">LOI!$B$4:$C$38</definedName>
    <definedName name="_xlnm.Print_Area" localSheetId="3">Proforma!$C$6:$Z$94</definedName>
    <definedName name="_xlnm.Print_Area">#REF!</definedName>
    <definedName name="Print_Area_MI">#REF!</definedName>
    <definedName name="Print_Area_Reset">#N/A</definedName>
    <definedName name="Print_Area2">#REF!</definedName>
    <definedName name="PRINT_CSS">#REF!</definedName>
    <definedName name="PRINT_FMC">#REF!</definedName>
    <definedName name="Print_List">#REF!</definedName>
    <definedName name="PRINT_OPTIONS">#REF!</definedName>
    <definedName name="Print_Preview">#REF!</definedName>
    <definedName name="PRINT_SHREG">#REF!</definedName>
    <definedName name="PRINT_THE_1992_">#REF!</definedName>
    <definedName name="_xlnm.Print_Titles">#N/A</definedName>
    <definedName name="PRINT_TITLES_MI">#REF!</definedName>
    <definedName name="Print2" hidden="1">{#N/A,#N/A,FALSE,"Cover";#N/A,#N/A,FALSE,"Stack";#N/A,#N/A,FALSE,"Cost S";#N/A,#N/A,FALSE," CF";#N/A,#N/A,FALSE,"Investor"}</definedName>
    <definedName name="Print2Sheet">[0]!Print2Sheet</definedName>
    <definedName name="Print94">#REF!</definedName>
    <definedName name="print94a">#REF!</definedName>
    <definedName name="PrintCF">[0]!PrintCF</definedName>
    <definedName name="PrintCF2">[0]!PrintCF2</definedName>
    <definedName name="PRINTCS">#REF!</definedName>
    <definedName name="PRINTDUS">#REF!</definedName>
    <definedName name="PRINTFHA">#REF!</definedName>
    <definedName name="printoutput">#REF!</definedName>
    <definedName name="PrintSheet">[0]!PrintSheet</definedName>
    <definedName name="PrintSheet2">[0]!PrintSheet2</definedName>
    <definedName name="Printval2all">[0]!Printval2all</definedName>
    <definedName name="PrintValAll">[0]!PrintValAll</definedName>
    <definedName name="PriorPrice">#REF!</definedName>
    <definedName name="prmote">#REF!</definedName>
    <definedName name="PrnProforma">#REF!</definedName>
    <definedName name="Pro_Forma">#REF!</definedName>
    <definedName name="probFullTerm">#REF!</definedName>
    <definedName name="problem" hidden="1">{"View1",#N/A,FALSE,"Sheet1";"View2",#N/A,FALSE,"Sheet1"}</definedName>
    <definedName name="probTermination">#REF!</definedName>
    <definedName name="Product_gr_1">"CI"</definedName>
    <definedName name="Product_gr_10">"EMPIK"</definedName>
    <definedName name="Product_gr_11">"Services KES"</definedName>
    <definedName name="Product_gr_3">"KES"</definedName>
    <definedName name="Product_gr_4">""</definedName>
    <definedName name="Product_gr_5">"HID"</definedName>
    <definedName name="Product_gr_6">"Services MINILAB"</definedName>
    <definedName name="Product_gr_7">"OPTIC"</definedName>
    <definedName name="Product_gr_8">"PARFUMERY"</definedName>
    <definedName name="Product_gr_9">"L'ORÉAL"</definedName>
    <definedName name="Profit" hidden="1">#REF!</definedName>
    <definedName name="PROFORMA">#REF!</definedName>
    <definedName name="ProformaOverRide">#REF!,#REF!,#REF!,#REF!</definedName>
    <definedName name="proj">#REF!</definedName>
    <definedName name="PROJ_ID">#REF!</definedName>
    <definedName name="PROJ_INFO">#REF!</definedName>
    <definedName name="ProjDateSP">#REF!</definedName>
    <definedName name="PROJECT">#REF!</definedName>
    <definedName name="Project_months">#REF!</definedName>
    <definedName name="ProjectAddress">#REF!</definedName>
    <definedName name="ProjectCity">#REF!</definedName>
    <definedName name="ProjectCode">#REF!</definedName>
    <definedName name="ProjectCounty">#REF!</definedName>
    <definedName name="ProjectionBaseYear">#REF!</definedName>
    <definedName name="PROJECTIONS">#REF!</definedName>
    <definedName name="ProjectionYears">#REF!</definedName>
    <definedName name="ProjectName">#REF!</definedName>
    <definedName name="ProjectZip">#REF!</definedName>
    <definedName name="PROJPENE2">#REF!</definedName>
    <definedName name="ProjYear10SP">#REF!</definedName>
    <definedName name="ProjYear1SP">#REF!</definedName>
    <definedName name="ProjYear2SP">#REF!</definedName>
    <definedName name="ProjYear3SP">#REF!</definedName>
    <definedName name="ProjYear4SP">#REF!</definedName>
    <definedName name="ProjYear5SP">#REF!</definedName>
    <definedName name="ProjYear6SP">#REF!</definedName>
    <definedName name="ProjYear7SP">#REF!</definedName>
    <definedName name="ProjYear8SP">#REF!</definedName>
    <definedName name="ProjYear9SP">#REF!</definedName>
    <definedName name="PROLL">#REF!</definedName>
    <definedName name="PROM">#REF!</definedName>
    <definedName name="PROM2">#REF!</definedName>
    <definedName name="PROMOTE">#REF!</definedName>
    <definedName name="promte" hidden="1">{"Assumptions",#N/A,FALSE,"Assumptions"}</definedName>
    <definedName name="prop_13_calculation">#REF!</definedName>
    <definedName name="prop_tax_rt">#REF!</definedName>
    <definedName name="Prop1_Address">#REF!</definedName>
    <definedName name="Prop1_Name">#REF!</definedName>
    <definedName name="Propaddress">#REF!</definedName>
    <definedName name="PROPERTY">#REF!</definedName>
    <definedName name="Property_Name">#REF!</definedName>
    <definedName name="Property_Year_Built">#REF!</definedName>
    <definedName name="PropertyName">#REF!</definedName>
    <definedName name="PropertyParam">#REF!</definedName>
    <definedName name="PropertyTaxes">#REF!</definedName>
    <definedName name="PropertyTaxInflationRate">#REF!</definedName>
    <definedName name="PropertyYields">#REF!</definedName>
    <definedName name="Propname">#REF!</definedName>
    <definedName name="PROPNUMBER">#REF!</definedName>
    <definedName name="PROPOSED_HOTELS">#REF!</definedName>
    <definedName name="PropStat">#REF!</definedName>
    <definedName name="PRPYRL">#REF!</definedName>
    <definedName name="PSF_retail">#REF!</definedName>
    <definedName name="Pship_EIN" hidden="1">#REF!</definedName>
    <definedName name="Pship_NA2" hidden="1">#REF!</definedName>
    <definedName name="PTEB">#REF!</definedName>
    <definedName name="PUBLISHING">#REF!</definedName>
    <definedName name="purposes">#REF!</definedName>
    <definedName name="PVOther1">#REF!</definedName>
    <definedName name="PVOther2">#REF!</definedName>
    <definedName name="PVOther3">#REF!</definedName>
    <definedName name="pw_data">#REF!</definedName>
    <definedName name="PWDATA">#REF!</definedName>
    <definedName name="PY_Common_Equity">#REF!</definedName>
    <definedName name="PY_Depreciation">#REF!</definedName>
    <definedName name="PY_Intangible_Assets">#REF!</definedName>
    <definedName name="PY_Interest_Expense">#REF!</definedName>
    <definedName name="PY_LT_Debt">#REF!</definedName>
    <definedName name="PY_Market_Value_of_Equity">#REF!</definedName>
    <definedName name="PY_Marketable_Sec">#REF!</definedName>
    <definedName name="PY_Other_Exp">#REF!</definedName>
    <definedName name="PY_Selling">#REF!</definedName>
    <definedName name="PY_Tangible_Net_Worth">#REF!</definedName>
    <definedName name="PY2_Common_Equity">#REF!</definedName>
    <definedName name="PY2_Depreciation">#REF!</definedName>
    <definedName name="PY2_Intangible_Assets">#REF!</definedName>
    <definedName name="PY2_Interest_Expense">#REF!</definedName>
    <definedName name="PY2_LT_Debt">#REF!</definedName>
    <definedName name="PY2_Marketable_Sec">#REF!</definedName>
    <definedName name="PY2_Other_Exp.">#REF!</definedName>
    <definedName name="PY2_Selling">#REF!</definedName>
    <definedName name="PY2_Tangible_Net_Worth">#REF!</definedName>
    <definedName name="PYRL">#REF!</definedName>
    <definedName name="QIRR">#REF!</definedName>
    <definedName name="QNQN">#REF!</definedName>
    <definedName name="qqqq" hidden="1">{#N/A,#N/A,FALSE,"Chart 2 by Prop Type"}</definedName>
    <definedName name="qqqqq" hidden="1">#REF!</definedName>
    <definedName name="qre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QT">#REF!</definedName>
    <definedName name="QTY">#REF!</definedName>
    <definedName name="Quals">#REF!</definedName>
    <definedName name="Quarter">#REF!</definedName>
    <definedName name="quarterly" hidden="1">{"CF",#N/A,FALSE,"Cash Flow";"RET",#N/A,FALSE,"Returns";"NPV",#N/A,FALSE,"Values";"ASMPT",#N/A,FALSE,"Assumptions"}</definedName>
    <definedName name="QuarterlyIrr">#REF!</definedName>
    <definedName name="Quick_and_Dirty">"NCF"</definedName>
    <definedName name="qw" localSheetId="2" hidden="1">{"'下期集計（10.27迄・速報値）'!$Q$16"}</definedName>
    <definedName name="qw" hidden="1">{"'下期集計（10.27迄・速報値）'!$Q$16"}</definedName>
    <definedName name="qwer" hidden="1">{"Estimated Proforma",#N/A,TRUE,"Prelim. Proforma";"Sales and Marketing Budget",#N/A,TRUE,"S&amp;M Budget";"Summary Cash Flow Grid",#N/A,TRUE,"Cash Flow Grid";"Detail Project Cash Flow",#N/A,TRUE,"Cash Flow Grid";"Financing Calculation",#N/A,TRUE,"Cash Flow Grid";"Cash Flow Graph",#N/A,TRUE,"Cash Flow Graphic";"Final Proforma",#N/A,TRUE,"Final Proforma"}</definedName>
    <definedName name="qwert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qy">#REF!</definedName>
    <definedName name="r_printfunction">#REF!</definedName>
    <definedName name="Radnor" hidden="1">binary</definedName>
    <definedName name="ＲＡＲＯＡ" localSheetId="2" hidden="1">{"'下期集計（10.27迄・速報値）'!$Q$16"}</definedName>
    <definedName name="ＲＡＲＯＡ" hidden="1">{"'下期集計（10.27迄・速報値）'!$Q$16"}</definedName>
    <definedName name="RAT">#REF!</definedName>
    <definedName name="rate">#REF!</definedName>
    <definedName name="rate_cap_amort">#REF!</definedName>
    <definedName name="rate_cap_term">#REF!</definedName>
    <definedName name="Rate_lookup">#REF!</definedName>
    <definedName name="RATE01">#REF!</definedName>
    <definedName name="RATE02">#REF!</definedName>
    <definedName name="RATE03">#REF!</definedName>
    <definedName name="RATE04">#REF!</definedName>
    <definedName name="RATE05">#REF!</definedName>
    <definedName name="RATE06">#REF!</definedName>
    <definedName name="RATE07">#REF!</definedName>
    <definedName name="RATE08">#REF!</definedName>
    <definedName name="RATE09">#REF!</definedName>
    <definedName name="RATE10">#REF!</definedName>
    <definedName name="RATE11">#REF!</definedName>
    <definedName name="RATE12">#REF!</definedName>
    <definedName name="RATE13">#REF!</definedName>
    <definedName name="RATE14">#REF!</definedName>
    <definedName name="RATE15">#REF!</definedName>
    <definedName name="RATE16">#REF!</definedName>
    <definedName name="RATE17">#REF!</definedName>
    <definedName name="RATE18">#REF!</definedName>
    <definedName name="RATE19">#REF!</definedName>
    <definedName name="RATE20">#REF!</definedName>
    <definedName name="RATE21">#REF!</definedName>
    <definedName name="RATE22">#REF!</definedName>
    <definedName name="RATE23">#REF!</definedName>
    <definedName name="RATE24">#REF!</definedName>
    <definedName name="RATE25">#REF!</definedName>
    <definedName name="RATE26">#REF!</definedName>
    <definedName name="RATE27">#REF!</definedName>
    <definedName name="RATE28">#REF!</definedName>
    <definedName name="RATE29">#REF!</definedName>
    <definedName name="RATE30">#REF!</definedName>
    <definedName name="RATE31">#REF!</definedName>
    <definedName name="RATES">#REF!</definedName>
    <definedName name="RATING">#REF!</definedName>
    <definedName name="RBU">#REF!</definedName>
    <definedName name="Re">#REF!</definedName>
    <definedName name="REAL_ESTATE">#REF!</definedName>
    <definedName name="REALLOC">#REF!</definedName>
    <definedName name="REAPS">#REF!</definedName>
    <definedName name="Reaps2">#REF!</definedName>
    <definedName name="Reaps3">#REF!</definedName>
    <definedName name="Recalculation_Flag">#REF!</definedName>
    <definedName name="recmort">#REF!</definedName>
    <definedName name="RECON">#REF!</definedName>
    <definedName name="REDiscRate">#REF!</definedName>
    <definedName name="REExposure">#REF!</definedName>
    <definedName name="RefiCosts">#REF!</definedName>
    <definedName name="ReFiInt">#REF!</definedName>
    <definedName name="RefiLoanAmount">#REF!</definedName>
    <definedName name="RefiMonth">#REF!</definedName>
    <definedName name="Refin">#REF!</definedName>
    <definedName name="REFINANCE">#REF!</definedName>
    <definedName name="REFINANCE_Mortgage">#REF!</definedName>
    <definedName name="Refinancing">#REF!</definedName>
    <definedName name="RefiYr">#REF!</definedName>
    <definedName name="REFUND">#REF!</definedName>
    <definedName name="Region">#REF!</definedName>
    <definedName name="regional_malls">#REF!</definedName>
    <definedName name="Register">OFFSET(#REF!,0,0,COUNT(#REF!),10)</definedName>
    <definedName name="rel" hidden="1">#REF!</definedName>
    <definedName name="Release">#REF!</definedName>
    <definedName name="remeasure">#REF!</definedName>
    <definedName name="remkt">#REF!</definedName>
    <definedName name="rename" hidden="1">{"View1",#N/A,FALSE,"Sheet1";"View2",#N/A,FALSE,"Sheet1"}</definedName>
    <definedName name="RENEWALS">#REF!</definedName>
    <definedName name="renincr.">#REF!</definedName>
    <definedName name="Reno_Cost">#REF!</definedName>
    <definedName name="RenSub50">#REF!</definedName>
    <definedName name="rent">#REF!</definedName>
    <definedName name="rent_growth_rate">#REF!</definedName>
    <definedName name="rent_grwth_2000">#REF!</definedName>
    <definedName name="rent_grwth_2001">#REF!</definedName>
    <definedName name="rent_grwth_99">#REF!</definedName>
    <definedName name="rent_inc">#REF!</definedName>
    <definedName name="rent_inc98">#REF!</definedName>
    <definedName name="rent_incr">#REF!</definedName>
    <definedName name="rent_incr2">#REF!</definedName>
    <definedName name="rent_incr3">#REF!</definedName>
    <definedName name="rent_incr4">#REF!</definedName>
    <definedName name="rent_incr5">#REF!</definedName>
    <definedName name="RENT1">#REF!</definedName>
    <definedName name="rental">#REF!</definedName>
    <definedName name="RentExpense">#REF!</definedName>
    <definedName name="RentRoll">#REF!</definedName>
    <definedName name="rents">#REF!</definedName>
    <definedName name="RentTable">#REF!</definedName>
    <definedName name="REPAIRS">#REF!</definedName>
    <definedName name="report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1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5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portedNetIncome">#REF!</definedName>
    <definedName name="req">#REF!</definedName>
    <definedName name="reqeq">#REF!</definedName>
    <definedName name="RES_CAP">#REF!</definedName>
    <definedName name="Res_DUs">#REF!</definedName>
    <definedName name="ResearchAndDevelopment">#REF!</definedName>
    <definedName name="ResearchAndDevelopmentMargin">#REF!</definedName>
    <definedName name="RESERV">#REF!</definedName>
    <definedName name="ReserveDepnYears">#REF!</definedName>
    <definedName name="ReserveExpense">#REF!</definedName>
    <definedName name="Reserves">#REF!</definedName>
    <definedName name="resid_effic">#REF!</definedName>
    <definedName name="residential_rental">#REF!</definedName>
    <definedName name="ResidSF">#REF!</definedName>
    <definedName name="Residu" hidden="1">{#N/A,#N/A,TRUE,"Summary";"AnnualRentRoll",#N/A,TRUE,"RentRoll";#N/A,#N/A,TRUE,"ExitStratigy";#N/A,#N/A,TRUE,"OperatingAssumptions"}</definedName>
    <definedName name="ResidualCapRate">#REF!</definedName>
    <definedName name="ResidualDate">#REF!</definedName>
    <definedName name="ResidualMgmtFee">#REF!</definedName>
    <definedName name="ResidualReserve">#REF!</definedName>
    <definedName name="resort" hidden="1">{"Output-3Column",#N/A,FALSE,"Output"}</definedName>
    <definedName name="REST">#N/A</definedName>
    <definedName name="RETAIL">#REF!</definedName>
    <definedName name="retail_commiss">#REF!</definedName>
    <definedName name="Retail_SF">#REF!</definedName>
    <definedName name="RETAILFREERENT">#REF!</definedName>
    <definedName name="RetailHardCosts">#REF!</definedName>
    <definedName name="RetailNSF">#REF!</definedName>
    <definedName name="retailspaces">#REF!</definedName>
    <definedName name="RETAX">#REF!</definedName>
    <definedName name="RETAX500">#REF!</definedName>
    <definedName name="RETAX512">#REF!</definedName>
    <definedName name="retewr" hidden="1">#REF!</definedName>
    <definedName name="retinc">#REF!</definedName>
    <definedName name="retl" hidden="1">#REF!</definedName>
    <definedName name="rettre" localSheetId="2" hidden="1">{"budget",#N/A,FALSE,"salaries"}</definedName>
    <definedName name="rettre" hidden="1">{"budget",#N/A,FALSE,"salaries"}</definedName>
    <definedName name="RETURN">#REF!</definedName>
    <definedName name="return_liq_reserve">#REF!</definedName>
    <definedName name="REV">#REF!</definedName>
    <definedName name="Rev_Grow">#REF!</definedName>
    <definedName name="Reversion">#REF!</definedName>
    <definedName name="REVEXPINFLATION">#REF!</definedName>
    <definedName name="Reviewer">#REF!</definedName>
    <definedName name="RevisedDate">#REF!</definedName>
    <definedName name="revmin1">#REF!</definedName>
    <definedName name="revmin2">#REF!</definedName>
    <definedName name="revmin3">#REF!</definedName>
    <definedName name="Revolver_Interest">#REF!</definedName>
    <definedName name="RevolverRate">#REF!</definedName>
    <definedName name="RevPAR">#REF!</definedName>
    <definedName name="rhfhf" hidden="1">{#N/A,#N/A,TRUE,"Maritime Park Arena PCD";#N/A,#N/A,TRUE,"Maritime Park Arena IOR"}</definedName>
    <definedName name="RID">#REF!</definedName>
    <definedName name="Rincon" hidden="1">{#N/A,#N/A,FALSE,"Loan Summary";#N/A,#N/A,FALSE,"NOI";"RR and Expir",#N/A,FALSE,"Rental";"Sales History",#N/A,FALSE,"Rental";#N/A,#N/A,FALSE,"Reserves"}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0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river" hidden="1">#REF!</definedName>
    <definedName name="Riverway" hidden="1">{"Table of Contents",#N/A,FALSE,"Table of Contents";"Assumptions Checklist",#N/A,FALSE,"Projected Acq_Dis";"Yearly Assumptions",#N/A,FALSE,"Other Assumptions";"Annual Summary",#N/A,FALSE,"Summary";"1999 by Quarter Summary",#N/A,FALSE,"Summary";"2000 by Quarter Summary",#N/A,FALSE,"Summary";"Contribution to FFO",#N/A,FALSE,"CONT SUMMARY";"Contribution to FFO-Acq. &amp; Disp.",#N/A,FALSE,"CONT SUMMARY";"Contribution to FFO-Developments",#N/A,FALSE,"CONT SUMMARY";"Pivot Table Pro-Forma",#N/A,FALSE,"Pivot Table Proforma";"Pivot Table-Dispositions",#N/A,FALSE,"Pivot Table Dispositions";"Development Cash Flows",#N/A,FALSE,"Development Cash Flows";"Income from JVs",#N/A,FALSE,"Income from JV's";"Fee Income",#N/A,FALSE,"Fees noncombined affiliates";"Interest Income",#N/A,FALSE,"Interest Income";"Unsecured Debentures",#N/A,FALSE,"Unsecured Debentures";"secured interest",#N/A,FALSE,"Secured Existing Interest Pivot";"Extended Secured Debt",#N/A,FALSE,"Extended Secured Debt";"Capitalized Interest",#N/A,FALSE,"Capitalized Interest";"Secured Existing Debt",#N/A,FALSE,"Secured Existing Debt";"Secured Debt-Refinanced",#N/A,FALSE,"Secured Debt Refinanced";"principal payments",#N/A,FALSE,"Secured PrincPay Pivot";"Covenant Ratios",#N/A,FALSE,"Covenant Ratios";"Covenant Calculation",#N/A,FALSE,"Covenant Calculations";"Margins",#N/A,FALSE,"Margins";"GAAP to TAX",#N/A,FALSE,"GAAP to TAX";"Net Free CF-Paydown",#N/A,FALSE,"Net Free CF Revolver Paydown";"CAPX",#N/A,FALSE,"CAP X";"Balance Sheet",#N/A,FALSE,"Balance Sheet";"BSA99",#N/A,FALSE,"Balance Sheet Analysis";"BSA2000",#N/A,FALSE,"Balance Sheet Analysis";"BSA2001",#N/A,FALSE,"Balance Sheet Analysis";"Unencumbered Portfolio",#N/A,FALSE,"Unencumbered Portfolio "}</definedName>
    <definedName name="rkgklrsngj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RLAINPUT_DebtLoan1CapEx" hidden="1">#REF!</definedName>
    <definedName name="RLAINPUT_DebtLoan1Funding" hidden="1">#REF!,#REF!,#REF!</definedName>
    <definedName name="RLAINPUT_DebtLoan1Gen1" hidden="1">#REF!</definedName>
    <definedName name="RLAINPUT_DebtLoan1Gen2" hidden="1">#REF!</definedName>
    <definedName name="RLAINPUT_DebtLoan1Payment" hidden="1">#REF!</definedName>
    <definedName name="RLAINPUT_DebtLoan2CapEx" hidden="1">#REF!</definedName>
    <definedName name="RLAINPUT_DebtLoan2Funding" hidden="1">#REF!,#REF!,#REF!</definedName>
    <definedName name="RLAINPUT_DebtLoan2Gen1" hidden="1">#REF!</definedName>
    <definedName name="RLAINPUT_DebtLoan2Gen2" hidden="1">#REF!</definedName>
    <definedName name="RLAINPUT_DebtLoan2Payment" hidden="1">#REF!</definedName>
    <definedName name="RLAINPUT_DebtLoan3CapEx" hidden="1">#REF!</definedName>
    <definedName name="RLAINPUT_DebtLoan3Funding" hidden="1">#REF!,#REF!,#REF!</definedName>
    <definedName name="RLAINPUT_DebtLoan3Gen1" hidden="1">#REF!</definedName>
    <definedName name="RLAINPUT_DebtLoan3Gen2" hidden="1">#REF!</definedName>
    <definedName name="RLAINPUT_DebtLoan3Payment" hidden="1">#REF!</definedName>
    <definedName name="RLAINPUT_DebtRateIndex" hidden="1">#REF!</definedName>
    <definedName name="RLAINPUT_EquityCatchUp1" hidden="1">#REF!,#REF!</definedName>
    <definedName name="RLAINPUT_EquityCatchUp2" hidden="1">#REF!,#REF!</definedName>
    <definedName name="RLAINPUT_EquityCatchUp3" hidden="1">#REF!,#REF!</definedName>
    <definedName name="RLAINPUT_EquityInputs" hidden="1">#REF!,#REF!,#REF!</definedName>
    <definedName name="RLAINPUT_EquityPartnerNames" hidden="1">#REF!,#REF!</definedName>
    <definedName name="RLAINPUT_EquityPercent" hidden="1">#REF!</definedName>
    <definedName name="RLAINPUT_EquityRemainder" hidden="1">#REF!,#REF!</definedName>
    <definedName name="RLAINPUT_EquityTier1" hidden="1">#REF!,#REF!</definedName>
    <definedName name="RLAINPUT_EquityTier2" hidden="1">#REF!,#REF!,#REF!</definedName>
    <definedName name="RLAINPUT_EquityTier3" hidden="1">#REF!,#REF!,#REF!</definedName>
    <definedName name="RLAINPUT_InPlaceRecovery" hidden="1">#REF!</definedName>
    <definedName name="RLAINPUT_Loan3Refi" hidden="1">#REF!,#REF!,#REF!</definedName>
    <definedName name="RLAINPUT_PortfolioInputs" hidden="1">#REF!</definedName>
    <definedName name="RLAINPUT_PortfolioPropertyInputs" hidden="1">#REF!</definedName>
    <definedName name="RLOSS">#REF!</definedName>
    <definedName name="Rm">#REF!</definedName>
    <definedName name="RM_NTS___INDEX">#REF!</definedName>
    <definedName name="RMNTS">#REF!</definedName>
    <definedName name="Rmp">#REF!</definedName>
    <definedName name="RMRE">#REF!</definedName>
    <definedName name="RMRE01">#REF!</definedName>
    <definedName name="RMRE02">#REF!</definedName>
    <definedName name="RMRE03">#REF!</definedName>
    <definedName name="RMRE04">#REF!</definedName>
    <definedName name="RMRE05">#REF!</definedName>
    <definedName name="RMRE06">#REF!</definedName>
    <definedName name="RMRE07">#REF!</definedName>
    <definedName name="RMRE08">#REF!</definedName>
    <definedName name="RMRE09">#REF!</definedName>
    <definedName name="RMRE10">#REF!</definedName>
    <definedName name="RMRE11">#REF!</definedName>
    <definedName name="RMRE12">#REF!</definedName>
    <definedName name="RMRE13">#REF!</definedName>
    <definedName name="RMRE14">#REF!</definedName>
    <definedName name="RMRE15">#REF!</definedName>
    <definedName name="RMRE16">#REF!</definedName>
    <definedName name="RMRE17">#REF!</definedName>
    <definedName name="RMRE18">#REF!</definedName>
    <definedName name="RMRE19">#REF!</definedName>
    <definedName name="RMRE20">#REF!</definedName>
    <definedName name="RMRE21">#REF!</definedName>
    <definedName name="RMRE22">#REF!</definedName>
    <definedName name="RMRE23">#REF!</definedName>
    <definedName name="RMRE24">#REF!</definedName>
    <definedName name="RMRE25">#REF!</definedName>
    <definedName name="RMRE26">#REF!</definedName>
    <definedName name="RMRE27">#REF!</definedName>
    <definedName name="RMRE28">#REF!</definedName>
    <definedName name="RMRE29">#REF!</definedName>
    <definedName name="RMRE30">#REF!</definedName>
    <definedName name="RMRE31">#REF!</definedName>
    <definedName name="RMSREV">#REF!</definedName>
    <definedName name="rngEntityTypes" hidden="1">#REF!</definedName>
    <definedName name="rngStates" hidden="1">#REF!</definedName>
    <definedName name="RNM">#REF!</definedName>
    <definedName name="rntgrwth3">#REF!</definedName>
    <definedName name="ROA">#REF!</definedName>
    <definedName name="Rock_Swell">#REF!</definedName>
    <definedName name="ROE">#REF!</definedName>
    <definedName name="ROIC">#REF!</definedName>
    <definedName name="Rollover">#REF!</definedName>
    <definedName name="ROLLOVERA">#REF!</definedName>
    <definedName name="RollToMkt">#REF!</definedName>
    <definedName name="Roman_Pulansky">[0]!Roman_Pulansky</definedName>
    <definedName name="ROOMS">#REF!</definedName>
    <definedName name="ROOMS_SUPPLY">#REF!</definedName>
    <definedName name="RoomsExpense">#REF!</definedName>
    <definedName name="RoomsRevenue">#REF!</definedName>
    <definedName name="RPA" hidden="1">{#N/A,#N/A,FALSE,"Cashflow Analysis";#N/A,#N/A,FALSE,"Sensitivity Analysis";#N/A,#N/A,FALSE,"PV";#N/A,#N/A,FALSE,"Pro Forma"}</definedName>
    <definedName name="RPA.2" hidden="1">{#N/A,#N/A,FALSE,"Cashflow Analysis";#N/A,#N/A,FALSE,"Sensitivity Analysis";#N/A,#N/A,FALSE,"PV";#N/A,#N/A,FALSE,"Pro Forma"}</definedName>
    <definedName name="RPRS">#REF!</definedName>
    <definedName name="RPTPERIOD">#REF!</definedName>
    <definedName name="RR">#REF!</definedName>
    <definedName name="rrg" hidden="1">#REF!</definedName>
    <definedName name="RRPRNT">#REF!</definedName>
    <definedName name="rrr" hidden="1">{"cashcons",#N/A,FALSE,"CASHCONS";"cash7000",#N/A,FALSE,"CASH7000";"cash9000",#N/A,FALSE,"CASH9000";"assu7000",#N/A,FALSE,"ASSU7000";"assu9000",#N/A,FALSE,"ASSU9000";"rentroll",#N/A,FALSE,"RENTROLL";"expr7000",#N/A,FALSE,"EXPR7000";"expr9000",#N/A,FALSE,"EXPR9000"}</definedName>
    <definedName name="rrr_1" hidden="1">{"cashcons",#N/A,FALSE,"CASHCONS";"cash7000",#N/A,FALSE,"CASH7000";"cash9000",#N/A,FALSE,"CASH9000";"assu7000",#N/A,FALSE,"ASSU7000";"assu9000",#N/A,FALSE,"ASSU9000";"rentroll",#N/A,FALSE,"RENTROLL";"expr7000",#N/A,FALSE,"EXPR7000";"expr9000",#N/A,FALSE,"EXPR9000"}</definedName>
    <definedName name="rrrr" localSheetId="2" hidden="1">{#N/A,#N/A,FALSE,"P&amp;L";#N/A,#N/A,FALSE,"Var_Fixed_cost"}</definedName>
    <definedName name="rrrr" hidden="1">{#N/A,#N/A,FALSE,"P&amp;L";#N/A,#N/A,FALSE,"Var_Fixed_cost"}</definedName>
    <definedName name="rrrrrrrrrrr" localSheetId="2" hidden="1">{#N/A,#N/A,FALSE,"P&amp;L";#N/A,#N/A,FALSE,"Var_Fixed_cost"}</definedName>
    <definedName name="rrrrrrrrrrr" hidden="1">{#N/A,#N/A,FALSE,"P&amp;L";#N/A,#N/A,FALSE,"Var_Fixed_cost"}</definedName>
    <definedName name="RSF">#REF!</definedName>
    <definedName name="RSUI3">#REF!</definedName>
    <definedName name="rt" hidden="1">#REF!</definedName>
    <definedName name="rtl" hidden="1">#REF!</definedName>
    <definedName name="rtrt" hidden="1">{"sheet a",#N/A,FALSE,"A";"sheet b 1",#N/A,FALSE,"B";"sheet b 2",#N/A,FALSE,"B"}</definedName>
    <definedName name="runits">#REF!</definedName>
    <definedName name="Rwvu.ALL." hidden="1">#REF!,#REF!</definedName>
    <definedName name="Rwvu.CAM._.RECOVERIES." hidden="1">#REF!,#REF!,#REF!</definedName>
    <definedName name="Rwvu.CAM._.TABLE." hidden="1">#REF!,#REF!,#REF!</definedName>
    <definedName name="Rwvu.INSURANCE._.RECOVERIES." hidden="1">#REF!,#REF!,#REF!,#REF!</definedName>
    <definedName name="Rwvu.MINIMUM._.RENT." hidden="1">#REF!,#REF!</definedName>
    <definedName name="Rwvu.OCCUPANCY._.ANALYSIS." hidden="1">#REF!,#REF!,#REF!</definedName>
    <definedName name="Rwvu.PERCENTAGE._.RENT." hidden="1">#REF!,#REF!,#REF!</definedName>
    <definedName name="Rwvu.Sommaire." hidden="1">#REF!,#REF!,#REF!,#REF!,#REF!</definedName>
    <definedName name="Rwvu.TAX._.RECOVERIES." hidden="1">#REF!,#REF!,#REF!,#REF!</definedName>
    <definedName name="s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S_COMP">#REF!</definedName>
    <definedName name="sa" hidden="1">{"cap_structure",#N/A,FALSE,"Graph-Mkt Cap";"price",#N/A,FALSE,"Graph-Price";"ebit",#N/A,FALSE,"Graph-EBITDA";"ebitda",#N/A,FALSE,"Graph-EBITDA"}</definedName>
    <definedName name="saa" hidden="1">{"rtn",#N/A,FALSE,"RTN";"tables",#N/A,FALSE,"RTN";"cf",#N/A,FALSE,"CF";"stats",#N/A,FALSE,"Stats";"prop",#N/A,FALSE,"Prop"}</definedName>
    <definedName name="sadd" hidden="1">{"MonthlyRentRoll",#N/A,FALSE,"RentRoll"}</definedName>
    <definedName name="sadd1" hidden="1">{"MonthlyRentRoll",#N/A,FALSE,"RentRoll"}</definedName>
    <definedName name="sadd2" hidden="1">{"MonthlyRentRoll",#N/A,FALSE,"RentRoll"}</definedName>
    <definedName name="saddd" hidden="1">{"AnnualRentRoll",#N/A,FALSE,"RentRoll"}</definedName>
    <definedName name="saddd2" hidden="1">{"AnnualRentRoll",#N/A,FALSE,"RentRoll"}</definedName>
    <definedName name="sadddd2" hidden="1">{"AnnualRentRoll",#N/A,FALSE,"RentRoll"}</definedName>
    <definedName name="saddddd" hidden="1">{"AnnualRentRoll",#N/A,FALSE,"RentRoll"}</definedName>
    <definedName name="saddddddd2" hidden="1">{#N/A,#N/A,FALSE,"ExitStratigy"}</definedName>
    <definedName name="sadddddddd" hidden="1">{#N/A,#N/A,FALSE,"ExitStratigy"}</definedName>
    <definedName name="saddddddddd2" hidden="1">{#N/A,#N/A,FALSE,"LoanAssumptions"}</definedName>
    <definedName name="sadddddddddd" hidden="1">{#N/A,#N/A,FALSE,"LoanAssumptions"}</definedName>
    <definedName name="saddddddddddd2" hidden="1">{#N/A,#N/A,FALSE,"OperatingAssumptions"}</definedName>
    <definedName name="saddddddddddddd" hidden="1">{#N/A,#N/A,FALSE,"OperatingAssumptions"}</definedName>
    <definedName name="sadfs" hidden="1">{"Const_Monthly",#N/A,FALSE,"Construction";"Construction_Summary",#N/A,FALSE,"Construction";"Cash_Flow",#N/A,FALSE,"Cash Flow";"Summary",#N/A,FALSE,"Summary";"Finsumm",#N/A,FALSE,"Summary Analysis";"Loanrecap",#N/A,FALSE,"Construction"}</definedName>
    <definedName name="sagf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salaries">#REF!</definedName>
    <definedName name="Sale">#REF!</definedName>
    <definedName name="SALE_CAP">#REF!</definedName>
    <definedName name="sale_or_rental_choice">#REF!</definedName>
    <definedName name="SALE_YEAR">#REF!</definedName>
    <definedName name="salecosts">#REF!</definedName>
    <definedName name="SaleDate">#REF!</definedName>
    <definedName name="SALEMONTH">#REF!</definedName>
    <definedName name="sales_comm_percentge">#REF!</definedName>
    <definedName name="sales_per_month">#REF!</definedName>
    <definedName name="Sales_Proceeds_after_Debt">#REF!</definedName>
    <definedName name="SALES1">#REF!</definedName>
    <definedName name="SALES2">#REF!</definedName>
    <definedName name="SALES3">#REF!</definedName>
    <definedName name="salespd_dur">#REF!</definedName>
    <definedName name="salespd_endmo">#REF!</definedName>
    <definedName name="salespd_startmo">#REF!</definedName>
    <definedName name="SALEYEAR">#REF!</definedName>
    <definedName name="Sample1">#REF!</definedName>
    <definedName name="SANDER" hidden="1">{#N/A,#N/A,FALSE,"A";#N/A,#N/A,FALSE,"C"}</definedName>
    <definedName name="SAPBEXdnldView" hidden="1">"B734219Z5FQXLAJ6LVI4XYU5J"</definedName>
    <definedName name="SAPBEXhrIndnt" hidden="1">1</definedName>
    <definedName name="SAPBEXrevision" hidden="1">4</definedName>
    <definedName name="SAPBEXsysID" hidden="1">"BWP"</definedName>
    <definedName name="SAPBEXwbID" hidden="1">"3Y29JDIITC23JYUD8YAN679VV"</definedName>
    <definedName name="sara">#REF!</definedName>
    <definedName name="sara2">#REF!</definedName>
    <definedName name="sarah" hidden="1">{"FCB_ALL",#N/A,FALSE,"FCB"}</definedName>
    <definedName name="sas" hidden="1">{"Outflow 1",#N/A,FALSE,"Outflows-Inflows";"Outflow 2",#N/A,FALSE,"Outflows-Inflows";"Inflow 1",#N/A,FALSE,"Outflows-Inflows";"Inflow 2",#N/A,FALSE,"Outflows-Inflows"}</definedName>
    <definedName name="SAVE">#REF!</definedName>
    <definedName name="SAVE_THE_CURREN">#REF!</definedName>
    <definedName name="sbl.debt">#REF!</definedName>
    <definedName name="SBTick">#REF!</definedName>
    <definedName name="SC_Fill" hidden="1">#REF!</definedName>
    <definedName name="SC_Fill2" hidden="1">#REF!</definedName>
    <definedName name="scen_date1" hidden="1">34379.7786921296</definedName>
    <definedName name="Scen_Hypo">#REF!</definedName>
    <definedName name="scen_name1" hidden="1">"SOLV 1"</definedName>
    <definedName name="scen_num" hidden="1">1</definedName>
    <definedName name="scen_user1" hidden="1">"JEAN-LOUIS TORRES"</definedName>
    <definedName name="scen_value1" hidden="1">{"0,0525";"0";"0";"20";"0";"0,025";"7"}</definedName>
    <definedName name="scen1">#REF!</definedName>
    <definedName name="scen2">#REF!</definedName>
    <definedName name="scen3">#REF!</definedName>
    <definedName name="Scenario">#REF!</definedName>
    <definedName name="Sched_Pay">#REF!</definedName>
    <definedName name="SCHEDA">#REF!</definedName>
    <definedName name="schedule1">#REF!</definedName>
    <definedName name="schedule2">#REF!</definedName>
    <definedName name="Scheduled_Extra_Payments">#REF!</definedName>
    <definedName name="Scheduled_Interest_Rate">#REF!</definedName>
    <definedName name="Scheduled_Monthly_Payment">#REF!</definedName>
    <definedName name="schedules" hidden="1">{#N/A,#N/A,FALSE,"Schedule A";#N/A,#N/A,FALSE,"Schedule B";#N/A,#N/A,FALSE,"Schedule C";#N/A,#N/A,FALSE,"Schedule D";#N/A,#N/A,FALSE,"Schedule E";#N/A,#N/A,FALSE,"Schedule F";#N/A,#N/A,FALSE,"Schedule G";#N/A,#N/A,FALSE,"Schedule H";#N/A,#N/A,FALSE,"Schedule I";#N/A,#N/A,FALSE,"Schedule J"}</definedName>
    <definedName name="Scosts">#REF!</definedName>
    <definedName name="SD">#REF!</definedName>
    <definedName name="sdagew" hidden="1">{#N/A,#N/A,FALSE,"0700 Interest Expense";#N/A,#N/A,FALSE,"0700-1 Summary of Interest Earn"}</definedName>
    <definedName name="sdf" hidden="1">{#N/A,#N/A,FALSE,"A";#N/A,#N/A,FALSE,"B";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}</definedName>
    <definedName name="sdfass" hidden="1">{"Outflow 1",#N/A,FALSE,"Outflows-Inflows";"Outflow 2",#N/A,FALSE,"Outflows-Inflows";"Inflow 1",#N/A,FALSE,"Outflows-Inflows";"Inflow 2",#N/A,FALSE,"Outflows-Inflows"}</definedName>
    <definedName name="sdfd" hidden="1">{"Summary",#N/A,FALSE,"Summary"}</definedName>
    <definedName name="sdfga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sdfgdsfg" hidden="1">#REF!</definedName>
    <definedName name="sdfh2wh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sdfs">#REF!</definedName>
    <definedName name="SDFSDF" hidden="1">{"Page One",#N/A,FALSE,"Model";"Page 2",#N/A,FALSE,"Model";"Page 3",#N/A,FALSE,"Model"}</definedName>
    <definedName name="sds">#REF!</definedName>
    <definedName name="sdsd" localSheetId="2" hidden="1">{#N/A,#N/A,FALSE,"Cashflow Analysis";#N/A,#N/A,FALSE,"Sensitivity Analysis";#N/A,#N/A,FALSE,"PV";#N/A,#N/A,FALSE,"Pro Forma"}</definedName>
    <definedName name="sdsd" hidden="1">{#N/A,#N/A,FALSE,"Cashflow Analysis";#N/A,#N/A,FALSE,"Sensitivity Analysis";#N/A,#N/A,FALSE,"PV";#N/A,#N/A,FALSE,"Pro Forma"}</definedName>
    <definedName name="sdsdgsg">#REF!</definedName>
    <definedName name="season">#REF!</definedName>
    <definedName name="Season1">#REF!</definedName>
    <definedName name="Season2">#REF!</definedName>
    <definedName name="SECOND">#REF!</definedName>
    <definedName name="Second_Mortgage">#REF!</definedName>
    <definedName name="Second_NMortgage">#REF!</definedName>
    <definedName name="Second_Tranche">#REF!</definedName>
    <definedName name="Second2">#REF!</definedName>
    <definedName name="SecondAmort">#REF!</definedName>
    <definedName name="SecondAmortStart">#REF!</definedName>
    <definedName name="SecondAmount">#REF!</definedName>
    <definedName name="SecondM">#REF!</definedName>
    <definedName name="SecondMtg">#REF!</definedName>
    <definedName name="SecondPymt">#REF!</definedName>
    <definedName name="SecondRate">#REF!</definedName>
    <definedName name="SecondSet">#REF!</definedName>
    <definedName name="SecondTerm">#REF!</definedName>
    <definedName name="SEG">#REF!</definedName>
    <definedName name="SEG_FOUR_PENET">#REF!</definedName>
    <definedName name="SEG_ONE_PENET">#REF!</definedName>
    <definedName name="SEG_THREE_PENET">#REF!</definedName>
    <definedName name="SEG_TWO_PENET">#REF!</definedName>
    <definedName name="SEG1_TITLE">#REF!</definedName>
    <definedName name="Seg1Demand">#REF!</definedName>
    <definedName name="SEG2_TITLE">#REF!</definedName>
    <definedName name="Seg2Demand">#REF!</definedName>
    <definedName name="SEG3_TITLE">#REF!</definedName>
    <definedName name="Seg3Demand">#REF!</definedName>
    <definedName name="SEG4_TITLE">#REF!</definedName>
    <definedName name="Seg4Demand">#REF!</definedName>
    <definedName name="SEGMENT_ADR">#REF!</definedName>
    <definedName name="Segment1">#REF!</definedName>
    <definedName name="Segment2">#REF!</definedName>
    <definedName name="Segment3">#REF!</definedName>
    <definedName name="Segment4">#REF!</definedName>
    <definedName name="SellCost">#REF!</definedName>
    <definedName name="SellingGeneralAndAdministrative">#REF!</definedName>
    <definedName name="SellingGeneralAndAdministrativeMargin">#REF!</definedName>
    <definedName name="SELPRINT">#REF!</definedName>
    <definedName name="sencount" hidden="1">1</definedName>
    <definedName name="SenExp">#REF!</definedName>
    <definedName name="SeniorDSNew">#REF!</definedName>
    <definedName name="Sens_1MoLIBOR">#REF!</definedName>
    <definedName name="Sens_ADRvariance">#REF!</definedName>
    <definedName name="Sens_OccVariance">#REF!</definedName>
    <definedName name="Sens_ProjectCost">#REF!</definedName>
    <definedName name="Sens_Rooms">#REF!</definedName>
    <definedName name="Sens_TermCapRate">#REF!</definedName>
    <definedName name="SEP">#REF!</definedName>
    <definedName name="SepEndDate">#REF!</definedName>
    <definedName name="SEPTEMBER">#REF!</definedName>
    <definedName name="Services_MINILAB">#REF!</definedName>
    <definedName name="Settlements">#REF!</definedName>
    <definedName name="sf">#REF!</definedName>
    <definedName name="SF_parking">#REF!</definedName>
    <definedName name="sfd" hidden="1">{"Const_Monthly",#N/A,FALSE,"Construction"}</definedName>
    <definedName name="sfds" hidden="1">{#N/A,#N/A,FALSE,"Cash Flow"}</definedName>
    <definedName name="SFF">#REF!</definedName>
    <definedName name="sfgasd" localSheetId="2" hidden="1">{0,0,0,0;0,0,0,0;0,0,0,0;0,0,0,0;0,0,0,0;0,0,0,0;0,0,2,0;2,3,3,0;FALSE,FALSE,FALSE,FALSE;TRUE,FALSE,TRUE,TRUE;FALSE,FALSE,TRUE,TRUE;FALSE,0,2.78134444564786E-308,4.45015196281921E-308;7.78776275135711E-308,1.33504516457612E-307,2.22507555776164E-307,3.56012157274209E-307}</definedName>
    <definedName name="sfgasd" hidden="1">{0,0,0,0;0,0,0,0;0,0,0,0;0,0,0,0;0,0,0,0;0,0,0,0;0,0,2,0;2,3,3,0;FALSE,FALSE,FALSE,FALSE;TRUE,FALSE,TRUE,TRUE;FALSE,FALSE,TRUE,TRUE;FALSE,0,2.78134444564786E-308,4.45015196281921E-308;7.78776275135711E-308,1.33504516457612E-307,2.22507555776164E-307,3.56012157274209E-307}</definedName>
    <definedName name="SFparking">#REF!</definedName>
    <definedName name="SFR">#REF!</definedName>
    <definedName name="SFresidential">#REF!</definedName>
    <definedName name="SFresidentialretail">#REF!</definedName>
    <definedName name="SFretail">#REF!</definedName>
    <definedName name="sfsd">#REF!</definedName>
    <definedName name="sfsf" hidden="1">{#N/A,#N/A,FALSE}</definedName>
    <definedName name="SFtotal">#REF!</definedName>
    <definedName name="SFV">#REF!</definedName>
    <definedName name="SG_Fill" hidden="1">#REF!</definedName>
    <definedName name="share_tog">#REF!</definedName>
    <definedName name="ShareholdersEquity">#REF!</definedName>
    <definedName name="SharePrice_Deal">#REF!</definedName>
    <definedName name="shares">#REF!</definedName>
    <definedName name="Shares_Issued_Debt">#REF!</definedName>
    <definedName name="Shares_Issued_Option">#REF!</definedName>
    <definedName name="Shares_Issued_Preferred">#REF!</definedName>
    <definedName name="SharesA">#REF!</definedName>
    <definedName name="SharesB">#REF!</definedName>
    <definedName name="SharesFromExercisedOptions">#REF!</definedName>
    <definedName name="SharesFromRedeemedConvertibleDebt">#REF!</definedName>
    <definedName name="SharesFromRedeemedConvertiblePreferred">#REF!</definedName>
    <definedName name="SharesOutstandingBalanceSheet">#REF!</definedName>
    <definedName name="sheet">#REF!</definedName>
    <definedName name="SHEET4">#REF!</definedName>
    <definedName name="sheet7">#REF!</definedName>
    <definedName name="SHEETD">#REF!</definedName>
    <definedName name="SheetName">#REF!</definedName>
    <definedName name="shit" hidden="1">{#N/A,"Base",FALSE,"Dividend";#N/A,"Conservative",FALSE,"Dividend";#N/A,"Downside",FALSE,"Dividend"}</definedName>
    <definedName name="shopping_ctrs">#REF!</definedName>
    <definedName name="ShortAGExpense">#REF!</definedName>
    <definedName name="ShortBeverageExpense">#REF!</definedName>
    <definedName name="ShortBevRev">#REF!</definedName>
    <definedName name="ShortEnergyExpense">#REF!</definedName>
    <definedName name="ShortFoodExpense">#REF!</definedName>
    <definedName name="ShortFoodRev">#REF!</definedName>
    <definedName name="ShortFranchiseFeesExpense">#REF!</definedName>
    <definedName name="ShortMarketingExpense">#REF!</definedName>
    <definedName name="ShortMgmtFeeExpense">#REF!</definedName>
    <definedName name="ShortOtherIncExpense">#REF!</definedName>
    <definedName name="ShortOtherIncome">#REF!</definedName>
    <definedName name="ShortPOMExpense">#REF!</definedName>
    <definedName name="ShortReserveExpense">#REF!</definedName>
    <definedName name="ShortRoomsExpense">#REF!</definedName>
    <definedName name="ShortTelephoneExpense">#REF!</definedName>
    <definedName name="ShortTelephoneRev">#REF!</definedName>
    <definedName name="ShortTermDebt">#REF!</definedName>
    <definedName name="shos">#REF!</definedName>
    <definedName name="Shrink">#REF!</definedName>
    <definedName name="Shrink2">#REF!</definedName>
    <definedName name="SHRINKC">#REF!</definedName>
    <definedName name="si" hidden="1">{#N/A,#N/A,FALSE,"Chart 2 by Prop Type"}</definedName>
    <definedName name="SILVERTOWERSLEASEUP">#REF!</definedName>
    <definedName name="site">#REF!</definedName>
    <definedName name="site_acq_month">#REF!</definedName>
    <definedName name="SiteCosts">#REF!</definedName>
    <definedName name="SITEPREP">#REF!</definedName>
    <definedName name="size">#REF!</definedName>
    <definedName name="Size_RevPAR_Matrix">#REF!</definedName>
    <definedName name="Slayer">[0]!Slayer</definedName>
    <definedName name="sloped">#REF!</definedName>
    <definedName name="sls_comm_half">#REF!</definedName>
    <definedName name="SOILEROSION">#REF!</definedName>
    <definedName name="solver_adj" localSheetId="3" hidden="1">Proforma!$O$5</definedName>
    <definedName name="solver_adj" hidden="1">#REF!</definedName>
    <definedName name="solver_cvg" hidden="1">0.001</definedName>
    <definedName name="solver_drv" hidden="1">1</definedName>
    <definedName name="solver_eng" localSheetId="3" hidden="1">1</definedName>
    <definedName name="solver_est" hidden="1">1</definedName>
    <definedName name="solver_itr" hidden="1">100</definedName>
    <definedName name="solver_lhs1" localSheetId="3" hidden="1">Proforma!$O$5</definedName>
    <definedName name="solver_lin" hidden="1">1</definedName>
    <definedName name="solver_neg" localSheetId="3" hidden="1">1</definedName>
    <definedName name="solver_neg" hidden="1">2</definedName>
    <definedName name="solver_num" localSheetId="3" hidden="1">1</definedName>
    <definedName name="solver_num" hidden="1">0</definedName>
    <definedName name="solver_nwt" hidden="1">1</definedName>
    <definedName name="solver_opt" localSheetId="3" hidden="1">Proforma!$G$8</definedName>
    <definedName name="solver_opt" hidden="1">#REF!</definedName>
    <definedName name="solver_pre" hidden="1">0.000001</definedName>
    <definedName name="solver_rel1" localSheetId="3" hidden="1">3</definedName>
    <definedName name="solver_rel1" hidden="1">1</definedName>
    <definedName name="solver_rel10" hidden="1">5</definedName>
    <definedName name="solver_rel11" hidden="1">5</definedName>
    <definedName name="solver_rel12" hidden="1">5</definedName>
    <definedName name="solver_rel13" hidden="1">5</definedName>
    <definedName name="solver_rel14" hidden="1">5</definedName>
    <definedName name="solver_rel15" hidden="1">5</definedName>
    <definedName name="solver_rel16" hidden="1">5</definedName>
    <definedName name="solver_rel17" hidden="1">5</definedName>
    <definedName name="solver_rel18" hidden="1">5</definedName>
    <definedName name="solver_rel19" hidden="1">5</definedName>
    <definedName name="solver_rel2" hidden="1">5</definedName>
    <definedName name="solver_rel20" hidden="1">5</definedName>
    <definedName name="solver_rel21" hidden="1">5</definedName>
    <definedName name="solver_rel22" hidden="1">5</definedName>
    <definedName name="solver_rel23" hidden="1">1</definedName>
    <definedName name="solver_rel24" hidden="1">5</definedName>
    <definedName name="solver_rel25" hidden="1">5</definedName>
    <definedName name="solver_rel26" hidden="1">5</definedName>
    <definedName name="solver_rel27" hidden="1">5</definedName>
    <definedName name="solver_rel28" hidden="1">5</definedName>
    <definedName name="solver_rel29" hidden="1">5</definedName>
    <definedName name="solver_rel3" hidden="1">5</definedName>
    <definedName name="solver_rel30" hidden="1">5</definedName>
    <definedName name="solver_rel31" hidden="1">5</definedName>
    <definedName name="solver_rel32" hidden="1">5</definedName>
    <definedName name="solver_rel33" hidden="1">5</definedName>
    <definedName name="solver_rel34" hidden="1">5</definedName>
    <definedName name="solver_rel35" hidden="1">5</definedName>
    <definedName name="solver_rel36" hidden="1">5</definedName>
    <definedName name="solver_rel37" hidden="1">5</definedName>
    <definedName name="solver_rel38" hidden="1">5</definedName>
    <definedName name="solver_rel39" hidden="1">5</definedName>
    <definedName name="solver_rel4" hidden="1">5</definedName>
    <definedName name="solver_rel40" hidden="1">5</definedName>
    <definedName name="solver_rel41" hidden="1">5</definedName>
    <definedName name="solver_rel42" hidden="1">5</definedName>
    <definedName name="solver_rel43" hidden="1">5</definedName>
    <definedName name="solver_rel44" hidden="1">5</definedName>
    <definedName name="solver_rel45" hidden="1">1</definedName>
    <definedName name="solver_rel46" hidden="1">5</definedName>
    <definedName name="solver_rel47" hidden="1">5</definedName>
    <definedName name="solver_rel48" hidden="1">5</definedName>
    <definedName name="solver_rel49" hidden="1">5</definedName>
    <definedName name="solver_rel5" hidden="1">5</definedName>
    <definedName name="solver_rel50" hidden="1">5</definedName>
    <definedName name="solver_rel51" hidden="1">5</definedName>
    <definedName name="solver_rel52" hidden="1">5</definedName>
    <definedName name="solver_rel53" hidden="1">5</definedName>
    <definedName name="solver_rel54" hidden="1">5</definedName>
    <definedName name="solver_rel55" hidden="1">5</definedName>
    <definedName name="solver_rel56" hidden="1">5</definedName>
    <definedName name="solver_rel57" hidden="1">5</definedName>
    <definedName name="solver_rel58" hidden="1">5</definedName>
    <definedName name="solver_rel59" hidden="1">5</definedName>
    <definedName name="solver_rel6" hidden="1">5</definedName>
    <definedName name="solver_rel60" hidden="1">5</definedName>
    <definedName name="solver_rel61" hidden="1">5</definedName>
    <definedName name="solver_rel62" hidden="1">5</definedName>
    <definedName name="solver_rel63" hidden="1">5</definedName>
    <definedName name="solver_rel64" hidden="1">5</definedName>
    <definedName name="solver_rel65" hidden="1">5</definedName>
    <definedName name="solver_rel66" hidden="1">5</definedName>
    <definedName name="solver_rel67" hidden="1">1</definedName>
    <definedName name="solver_rel68" hidden="1">5</definedName>
    <definedName name="solver_rel69" hidden="1">5</definedName>
    <definedName name="solver_rel7" hidden="1">5</definedName>
    <definedName name="solver_rel70" hidden="1">5</definedName>
    <definedName name="solver_rel71" hidden="1">5</definedName>
    <definedName name="solver_rel72" hidden="1">5</definedName>
    <definedName name="solver_rel73" hidden="1">5</definedName>
    <definedName name="solver_rel74" hidden="1">5</definedName>
    <definedName name="solver_rel75" hidden="1">5</definedName>
    <definedName name="solver_rel76" hidden="1">5</definedName>
    <definedName name="solver_rel77" hidden="1">5</definedName>
    <definedName name="solver_rel78" hidden="1">5</definedName>
    <definedName name="solver_rel79" hidden="1">5</definedName>
    <definedName name="solver_rel8" hidden="1">5</definedName>
    <definedName name="solver_rel80" hidden="1">5</definedName>
    <definedName name="solver_rel81" hidden="1">5</definedName>
    <definedName name="solver_rel82" hidden="1">5</definedName>
    <definedName name="solver_rel83" hidden="1">5</definedName>
    <definedName name="solver_rel84" hidden="1">5</definedName>
    <definedName name="solver_rel85" hidden="1">5</definedName>
    <definedName name="solver_rel86" hidden="1">5</definedName>
    <definedName name="solver_rel87" hidden="1">5</definedName>
    <definedName name="solver_rel88" hidden="1">5</definedName>
    <definedName name="solver_rel9" hidden="1">5</definedName>
    <definedName name="solver_rhs1" localSheetId="3" hidden="1">0</definedName>
    <definedName name="solver_rhs10" hidden="1">binary</definedName>
    <definedName name="solver_rhs11" hidden="1">binary</definedName>
    <definedName name="solver_rhs12" hidden="1">binary</definedName>
    <definedName name="solver_rhs13" hidden="1">binary</definedName>
    <definedName name="solver_rhs14" hidden="1">binary</definedName>
    <definedName name="solver_rhs15" hidden="1">binary</definedName>
    <definedName name="solver_rhs16" hidden="1">binary</definedName>
    <definedName name="solver_rhs17" hidden="1">binary</definedName>
    <definedName name="solver_rhs18" hidden="1">binary</definedName>
    <definedName name="solver_rhs19" hidden="1">binary</definedName>
    <definedName name="solver_rhs2" hidden="1">binary</definedName>
    <definedName name="solver_rhs20" hidden="1">binary</definedName>
    <definedName name="solver_rhs21" hidden="1">binary</definedName>
    <definedName name="solver_rhs22" hidden="1">binary</definedName>
    <definedName name="solver_rhs24" hidden="1">binary</definedName>
    <definedName name="solver_rhs25" hidden="1">binary</definedName>
    <definedName name="solver_rhs26" hidden="1">binary</definedName>
    <definedName name="solver_rhs27" hidden="1">binary</definedName>
    <definedName name="solver_rhs28" hidden="1">binary</definedName>
    <definedName name="solver_rhs29" hidden="1">binary</definedName>
    <definedName name="solver_rhs3" hidden="1">binary</definedName>
    <definedName name="solver_rhs30" hidden="1">binary</definedName>
    <definedName name="solver_rhs31" hidden="1">binary</definedName>
    <definedName name="solver_rhs32" hidden="1">binary</definedName>
    <definedName name="solver_rhs33" hidden="1">binary</definedName>
    <definedName name="solver_rhs34" hidden="1">binary</definedName>
    <definedName name="solver_rhs35" hidden="1">binary</definedName>
    <definedName name="solver_rhs36" hidden="1">binary</definedName>
    <definedName name="solver_rhs37" hidden="1">binary</definedName>
    <definedName name="solver_rhs38" hidden="1">binary</definedName>
    <definedName name="solver_rhs39" hidden="1">binary</definedName>
    <definedName name="solver_rhs4" hidden="1">binary</definedName>
    <definedName name="solver_rhs40" hidden="1">binary</definedName>
    <definedName name="solver_rhs41" hidden="1">binary</definedName>
    <definedName name="solver_rhs42" hidden="1">binary</definedName>
    <definedName name="solver_rhs43" hidden="1">binary</definedName>
    <definedName name="solver_rhs44" hidden="1">binary</definedName>
    <definedName name="solver_rhs46" hidden="1">binary</definedName>
    <definedName name="solver_rhs47" hidden="1">binary</definedName>
    <definedName name="solver_rhs48" hidden="1">binary</definedName>
    <definedName name="solver_rhs49" hidden="1">binary</definedName>
    <definedName name="solver_rhs5" hidden="1">binary</definedName>
    <definedName name="solver_rhs50" hidden="1">binary</definedName>
    <definedName name="solver_rhs51" hidden="1">binary</definedName>
    <definedName name="solver_rhs52" hidden="1">binary</definedName>
    <definedName name="solver_rhs53" hidden="1">binary</definedName>
    <definedName name="solver_rhs54" hidden="1">binary</definedName>
    <definedName name="solver_rhs55" hidden="1">binary</definedName>
    <definedName name="solver_rhs56" hidden="1">binary</definedName>
    <definedName name="solver_rhs57" hidden="1">binary</definedName>
    <definedName name="solver_rhs58" hidden="1">binary</definedName>
    <definedName name="solver_rhs59" hidden="1">binary</definedName>
    <definedName name="solver_rhs6" hidden="1">binary</definedName>
    <definedName name="solver_rhs60" hidden="1">binary</definedName>
    <definedName name="solver_rhs61" hidden="1">binary</definedName>
    <definedName name="solver_rhs62" hidden="1">binary</definedName>
    <definedName name="solver_rhs63" hidden="1">binary</definedName>
    <definedName name="solver_rhs64" hidden="1">binary</definedName>
    <definedName name="solver_rhs65" hidden="1">binary</definedName>
    <definedName name="solver_rhs66" hidden="1">binary</definedName>
    <definedName name="solver_rhs68" hidden="1">binary</definedName>
    <definedName name="solver_rhs69" hidden="1">binary</definedName>
    <definedName name="solver_rhs7" hidden="1">binary</definedName>
    <definedName name="solver_rhs70" hidden="1">binary</definedName>
    <definedName name="solver_rhs71" hidden="1">binary</definedName>
    <definedName name="solver_rhs72" hidden="1">binary</definedName>
    <definedName name="solver_rhs73" hidden="1">binary</definedName>
    <definedName name="solver_rhs74" hidden="1">binary</definedName>
    <definedName name="solver_rhs75" hidden="1">binary</definedName>
    <definedName name="solver_rhs76" hidden="1">binary</definedName>
    <definedName name="solver_rhs77" hidden="1">binary</definedName>
    <definedName name="solver_rhs78" hidden="1">binary</definedName>
    <definedName name="solver_rhs79" hidden="1">binary</definedName>
    <definedName name="solver_rhs8" hidden="1">binary</definedName>
    <definedName name="solver_rhs80" hidden="1">binary</definedName>
    <definedName name="solver_rhs81" hidden="1">binary</definedName>
    <definedName name="solver_rhs82" hidden="1">binary</definedName>
    <definedName name="solver_rhs83" hidden="1">binary</definedName>
    <definedName name="solver_rhs84" hidden="1">binary</definedName>
    <definedName name="solver_rhs85" hidden="1">binary</definedName>
    <definedName name="solver_rhs86" hidden="1">binary</definedName>
    <definedName name="solver_rhs87" hidden="1">binary</definedName>
    <definedName name="solver_rhs88" hidden="1">binary</definedName>
    <definedName name="solver_rhs9" hidden="1">binary</definedName>
    <definedName name="solver_scl" hidden="1">0</definedName>
    <definedName name="solver_sho" hidden="1">0</definedName>
    <definedName name="solver_tim" hidden="1">100</definedName>
    <definedName name="solver_tmp" hidden="1">#NULL!</definedName>
    <definedName name="solver_tol" hidden="1">0.05</definedName>
    <definedName name="solver_typ" localSheetId="3" hidden="1">3</definedName>
    <definedName name="solver_typ" hidden="1">1</definedName>
    <definedName name="solver_val" localSheetId="3" hidden="1">0.07</definedName>
    <definedName name="solver_val" hidden="1">0</definedName>
    <definedName name="solver_ver" localSheetId="3" hidden="1">3</definedName>
    <definedName name="sot" hidden="1">#REF!</definedName>
    <definedName name="SOURCE">#REF!</definedName>
    <definedName name="SOURCES">#REF!</definedName>
    <definedName name="Sources_Breakdown">#REF!</definedName>
    <definedName name="SP">#REF!</definedName>
    <definedName name="SPLITLIN">#REF!</definedName>
    <definedName name="SPLITWH">#REF!</definedName>
    <definedName name="SPM.2" hidden="1">{#N/A,#N/A,FALSE,"Cashflow Analysis";#N/A,#N/A,FALSE,"Sensitivity Analysis";#N/A,#N/A,FALSE,"PV";#N/A,#N/A,FALSE,"Pro Forma"}</definedName>
    <definedName name="Sponsor_IRR">#REF!</definedName>
    <definedName name="sponsortier1">#REF!</definedName>
    <definedName name="sponsortier2">#REF!</definedName>
    <definedName name="sponsortier3">#REF!</definedName>
    <definedName name="sponsortier4">#REF!</definedName>
    <definedName name="Spread">#REF!</definedName>
    <definedName name="SPREADASSUMPTIONS">#REF!</definedName>
    <definedName name="SpreadInvgrade">#REF!</definedName>
    <definedName name="SpreadNonInvgrade">#REF!</definedName>
    <definedName name="SQFEET">#REF!</definedName>
    <definedName name="SQFT">#REF!</definedName>
    <definedName name="SQUARE_FEET">#REF!</definedName>
    <definedName name="SquareFeet">#REF!</definedName>
    <definedName name="SquareFootage">#REF!</definedName>
    <definedName name="SrDebtStructure">#REF!</definedName>
    <definedName name="SrLoanAmount">#REF!</definedName>
    <definedName name="srt" hidden="1">#REF!</definedName>
    <definedName name="ssm" hidden="1">#REF!</definedName>
    <definedName name="SSSS" hidden="1">{#N/A,#N/A,FALSE,"A-1 Bank Reconcilation";#N/A,#N/A,FALSE,"A-2 Outstanding Checks";#N/A,#N/A,FALSE,"A-3 Savings Accounts";#N/A,#N/A,FALSE,"A-4 Certificates of Deposit";#N/A,#N/A,FALSE,"A-5 Bank Transfer Schedule"}</definedName>
    <definedName name="SSSSSVS" hidden="1">{"print annual inc. statement",#N/A,FALSE,"Summary";"print annual stats",#N/A,FALSE,"Summary";"print quarterly inc. statement",#N/A,FALSE,"Summary";"print quarterly stats",#N/A,FALSE,"Summary"}</definedName>
    <definedName name="st" hidden="1">#REF!</definedName>
    <definedName name="STAB">#REF!</definedName>
    <definedName name="stab_int_tax_exempt">#REF!</definedName>
    <definedName name="stab_int_taxable">#REF!</definedName>
    <definedName name="stab_rate">#REF!</definedName>
    <definedName name="StabG">#REF!</definedName>
    <definedName name="STABIL">#REF!</definedName>
    <definedName name="StabilizedValue">#REF!</definedName>
    <definedName name="StabilizedYear">#REF!</definedName>
    <definedName name="StabUnits">#REF!</definedName>
    <definedName name="STACK1">#REF!</definedName>
    <definedName name="STACK2">#REF!</definedName>
    <definedName name="STACK3">#REF!</definedName>
    <definedName name="Stadium" localSheetId="2" hidden="1">{#N/A,#N/A,TRUE,"Ericsson Stadium PCD ";#N/A,#N/A,TRUE,"Ericsson Stadium IOR"}</definedName>
    <definedName name="Stadium" hidden="1">{#N/A,#N/A,TRUE,"Ericsson Stadium PCD ";#N/A,#N/A,TRUE,"Ericsson Stadium IOR"}</definedName>
    <definedName name="stadiuma" localSheetId="2" hidden="1">{#N/A,#N/A,TRUE,"Ericsson Stadium PCD ";#N/A,#N/A,TRUE,"Ericsson Stadium IOR"}</definedName>
    <definedName name="stadiuma" hidden="1">{#N/A,#N/A,TRUE,"Ericsson Stadium PCD ";#N/A,#N/A,TRUE,"Ericsson Stadium IOR"}</definedName>
    <definedName name="stalls">#REF!</definedName>
    <definedName name="standardhotel">#REF!</definedName>
    <definedName name="START">#REF!</definedName>
    <definedName name="Start_Date">#REF!</definedName>
    <definedName name="Start_Year">#REF!</definedName>
    <definedName name="Start_YR">#REF!</definedName>
    <definedName name="Starts">#REF!</definedName>
    <definedName name="StarwoodEquity">#REF!</definedName>
    <definedName name="StarwoodKeyMoney">#REF!</definedName>
    <definedName name="Stat1">#REF!</definedName>
    <definedName name="Stat10">#REF!</definedName>
    <definedName name="Stat11">#REF!</definedName>
    <definedName name="Stat12">#REF!</definedName>
    <definedName name="Stat13">#REF!</definedName>
    <definedName name="Stat14">#REF!</definedName>
    <definedName name="Stat15">#REF!</definedName>
    <definedName name="Stat16">#REF!</definedName>
    <definedName name="Stat17">#REF!</definedName>
    <definedName name="Stat18">#REF!</definedName>
    <definedName name="Stat19">#REF!</definedName>
    <definedName name="Stat2">#REF!</definedName>
    <definedName name="Stat20">#REF!</definedName>
    <definedName name="Stat3">#REF!</definedName>
    <definedName name="Stat4">#REF!</definedName>
    <definedName name="Stat5">#REF!</definedName>
    <definedName name="Stat6">#REF!</definedName>
    <definedName name="Stat7">#REF!</definedName>
    <definedName name="Stat8">#REF!</definedName>
    <definedName name="Stat9">#REF!</definedName>
    <definedName name="State">#REF!</definedName>
    <definedName name="States">#REF!</definedName>
    <definedName name="StatLabel1">#REF!</definedName>
    <definedName name="StatLabel10">#REF!</definedName>
    <definedName name="StatLabel11">#REF!</definedName>
    <definedName name="StatLabel12">#REF!</definedName>
    <definedName name="StatLabel13">#REF!</definedName>
    <definedName name="StatLabel14">#REF!</definedName>
    <definedName name="StatLabel15">#REF!</definedName>
    <definedName name="StatLabel16">#REF!</definedName>
    <definedName name="StatLabel17">#REF!</definedName>
    <definedName name="StatLabel18">#REF!</definedName>
    <definedName name="StatLabel19">#REF!</definedName>
    <definedName name="StatLabel2">#REF!</definedName>
    <definedName name="StatLabel20">#REF!</definedName>
    <definedName name="StatLabel3">#REF!</definedName>
    <definedName name="StatLabel4">#REF!</definedName>
    <definedName name="StatLabel5">#REF!</definedName>
    <definedName name="StatLabel6">#REF!</definedName>
    <definedName name="StatLabel7">#REF!</definedName>
    <definedName name="StatLabel8">#REF!</definedName>
    <definedName name="StatLabel9">#REF!</definedName>
    <definedName name="Status">#REF!</definedName>
    <definedName name="STDPRI">#REF!</definedName>
    <definedName name="Steadfast2">#REF!</definedName>
    <definedName name="STEEL">#N/A</definedName>
    <definedName name="StepUp">#REF!</definedName>
    <definedName name="StockExchange">#REF!</definedName>
    <definedName name="StockPriceBalanceSheet">#REF!</definedName>
    <definedName name="STOP">#REF!</definedName>
    <definedName name="STORAGE">#REF!</definedName>
    <definedName name="StorageRSF">#REF!</definedName>
    <definedName name="STOTAL">#REF!</definedName>
    <definedName name="StraightLongTermDebt">#REF!</definedName>
    <definedName name="StraightPreferredBookValue">#REF!</definedName>
    <definedName name="StraightPreferredLiquidValue">#REF!</definedName>
    <definedName name="Street">#REF!</definedName>
    <definedName name="strip">#REF!</definedName>
    <definedName name="STRUCT">#REF!</definedName>
    <definedName name="Stub">#REF!</definedName>
    <definedName name="Stub_Days">#REF!</definedName>
    <definedName name="Stub_DaysPercent">#REF!</definedName>
    <definedName name="Stub_SeasonalityPercent">#REF!</definedName>
    <definedName name="Stubb_Interest">#REF!</definedName>
    <definedName name="StubYearDays">#REF!</definedName>
    <definedName name="stuff">#REF!,#REF!,#REF!,#REF!,#REF!,#REF!,#REF!,#REF!,#REF!</definedName>
    <definedName name="stuff2">#REF!,#REF!,#REF!,#REF!,#REF!,#REF!,#REF!,#REF!,#REF!</definedName>
    <definedName name="su">#REF!</definedName>
    <definedName name="subeq">#REF!</definedName>
    <definedName name="SubjectProperty">#REF!</definedName>
    <definedName name="SubjectRooms">#REF!</definedName>
    <definedName name="subordinate_debt">#REF!</definedName>
    <definedName name="SubsCosts">#REF!</definedName>
    <definedName name="SUBSIDIZEDRENT">#REF!</definedName>
    <definedName name="SUCKER">#REF!</definedName>
    <definedName name="SUITE">#REF!</definedName>
    <definedName name="Suites">#REF!</definedName>
    <definedName name="SUM">#REF!</definedName>
    <definedName name="SUMBORDER">#REF!</definedName>
    <definedName name="summary">#REF!</definedName>
    <definedName name="Summary1">#REF!</definedName>
    <definedName name="SUMR1">#REF!</definedName>
    <definedName name="super">#REF!</definedName>
    <definedName name="SuperUnit">#REF!</definedName>
    <definedName name="Supervisor">#REF!</definedName>
    <definedName name="SUPPLY">#REF!</definedName>
    <definedName name="SUPSCH">#REF!</definedName>
    <definedName name="SUTA">#REF!</definedName>
    <definedName name="SVF">#REF!</definedName>
    <definedName name="SWITCH">#REF!</definedName>
    <definedName name="Swvu.annual._.hotel." hidden="1">#REF!</definedName>
    <definedName name="Swvu.CAM._.RECOVERIES." hidden="1">#REF!</definedName>
    <definedName name="Swvu.CAM._.TABLE." hidden="1">#REF!</definedName>
    <definedName name="Swvu.combo." hidden="1">#REF!</definedName>
    <definedName name="Swvu.INSURANCE._.RECOVERIES." hidden="1">#REF!</definedName>
    <definedName name="Swvu.MINIMUM._.RENT." hidden="1">#REF!</definedName>
    <definedName name="Swvu.OCCUPANCY._.ANALYSIS." hidden="1">#REF!</definedName>
    <definedName name="Swvu.PERCENTAGE._.RENT." hidden="1">#REF!</definedName>
    <definedName name="Swvu.Sommaire." hidden="1">#REF!,#REF!,#REF!,#REF!,#REF!,#REF!</definedName>
    <definedName name="Swvu.TAX._.RECOVERIES." hidden="1">#REF!</definedName>
    <definedName name="sxdfrtxdft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syn_If">#REF!</definedName>
    <definedName name="Synagague_Entrance">#REF!</definedName>
    <definedName name="SYSSUM">#REF!</definedName>
    <definedName name="t" hidden="1">{#N/A,#N/A,FALSE,"Summary";#N/A,#N/A,FALSE,"Analysis";#N/A,#N/A,FALSE,"Leases";#N/A,#N/A,FALSE,"Operating History"}</definedName>
    <definedName name="table">#REF!</definedName>
    <definedName name="Table_AdjReturnInv1">#REF!</definedName>
    <definedName name="Table_AdjReturnInv2">#REF!</definedName>
    <definedName name="Table_AdjReturnJV">#REF!</definedName>
    <definedName name="Table_Hypo">#REF!</definedName>
    <definedName name="Table_HypoUnExit">#REF!</definedName>
    <definedName name="Table_HypoUnPrice">#REF!</definedName>
    <definedName name="Table2" hidden="1">#REF!</definedName>
    <definedName name="tables" hidden="1">#REF!</definedName>
    <definedName name="tac">#REF!</definedName>
    <definedName name="TACost">#REF!</definedName>
    <definedName name="Taes" hidden="1">{#N/A,#N/A,FALSE,"Historical Rev &amp; Exp"}</definedName>
    <definedName name="TakeoverQtr">#REF!</definedName>
    <definedName name="TakeoverYear">#REF!</definedName>
    <definedName name="TangibleBookValuePerShare">#REF!</definedName>
    <definedName name="TANGIBLES" hidden="1">{#N/A,#N/A,FALSE,"Schedule A";#N/A,#N/A,FALSE,"Schedule B";#N/A,#N/A,FALSE,"Schedule C";#N/A,#N/A,FALSE,"Schedule D";#N/A,#N/A,FALSE,"Schedule E";#N/A,#N/A,FALSE,"Schedule F";#N/A,#N/A,FALSE,"Schedule G";#N/A,#N/A,FALSE,"Schedule H";#N/A,#N/A,FALSE,"Schedule I";#N/A,#N/A,FALSE,"Schedule J"}</definedName>
    <definedName name="tar">#REF!</definedName>
    <definedName name="Target">#REF!</definedName>
    <definedName name="targetname">#REF!</definedName>
    <definedName name="targetnick">#REF!</definedName>
    <definedName name="TARRANT">#REF!</definedName>
    <definedName name="TAX">#REF!</definedName>
    <definedName name="Tax_Amortization">#REF!</definedName>
    <definedName name="Tax_Assess_Growth_Rate">#REF!</definedName>
    <definedName name="TAX_CREDIT">#REF!</definedName>
    <definedName name="Tax_credit_rate">#REF!</definedName>
    <definedName name="Tax_Growth_Rate">#REF!</definedName>
    <definedName name="tax_month_sf">#REF!</definedName>
    <definedName name="tax_tail">#REF!</definedName>
    <definedName name="tax_value">#REF!</definedName>
    <definedName name="TaxCapGains">#REF!</definedName>
    <definedName name="TaxCert">#REF!</definedName>
    <definedName name="TaxCondo">#REF!</definedName>
    <definedName name="TAXE2" hidden="1">{#N/A,#N/A,FALSE}</definedName>
    <definedName name="TaxEquity">#REF!</definedName>
    <definedName name="TaxForecast">#REF!</definedName>
    <definedName name="TaxForecastCA">#REF!</definedName>
    <definedName name="TaxGrowthRate">#REF!</definedName>
    <definedName name="taxgrwth">#REF!</definedName>
    <definedName name="TaxIMF">#REF!</definedName>
    <definedName name="TaxKeymoney">#REF!</definedName>
    <definedName name="TaxLicense">#REF!</definedName>
    <definedName name="TaxMethod">#REF!</definedName>
    <definedName name="TaxMezz">#REF!</definedName>
    <definedName name="TaxMgmt">#REF!</definedName>
    <definedName name="TaxPerUnit">#REF!</definedName>
    <definedName name="TaxRate1">#REF!</definedName>
    <definedName name="TaxRate2">#REF!</definedName>
    <definedName name="TaxToggle">#REF!</definedName>
    <definedName name="TBill">#REF!</definedName>
    <definedName name="TCAW">#REF!</definedName>
    <definedName name="tdc">#REF!</definedName>
    <definedName name="tdc_rental">#REF!</definedName>
    <definedName name="Ted_Bundy">[0]!Ted_Bundy</definedName>
    <definedName name="TEL">#REF!</definedName>
    <definedName name="TELECOM">#REF!</definedName>
    <definedName name="TelephoneExpense">#REF!</definedName>
    <definedName name="TelephoneRev">#REF!</definedName>
    <definedName name="temp">#REF!</definedName>
    <definedName name="temp2" hidden="1">{"Print CRXLAND Assumptions",#N/A,FALSE,"CRXLAND Openings";"Print CRXLAND Openings",#N/A,FALSE,"CRXLAND Openings"}</definedName>
    <definedName name="TemplatePrintArea">#REF!</definedName>
    <definedName name="tempor" hidden="1">{"print annual inc. statement",#N/A,FALSE,"Summary";"print annual stats",#N/A,FALSE,"Summary";"print quarterly inc. statement",#N/A,FALSE,"Summary";"print quarterly stats",#N/A,FALSE,"Summary";"print STAY opening assumptions",#N/A,FALSE,"STAY Openings";"print STAY openings",#N/A,FALSE,"STAY Openings";"Print SPHI Assumptions",#N/A,FALSE,"SPHI Openings";"Print SPHI Openings",#N/A,FALSE,"SPHI Openings";"Print CRXLAND Assumptions",#N/A,FALSE,"CRXLAND Openings";"Print CRXLAND Openings",#N/A,FALSE,"CRXLAND Openings"}</definedName>
    <definedName name="tenant_buyout_costs">#REF!</definedName>
    <definedName name="Tenant_Descriptions">#REF!</definedName>
    <definedName name="Tenant_Profile">#REF!</definedName>
    <definedName name="Tencosts">#REF!</definedName>
    <definedName name="TenEquity">#REF!</definedName>
    <definedName name="TENINP">#REF!</definedName>
    <definedName name="tenr">#REF!</definedName>
    <definedName name="term">#REF!</definedName>
    <definedName name="Term__years">#REF!</definedName>
    <definedName name="term_value">#REF!</definedName>
    <definedName name="term_year">#REF!</definedName>
    <definedName name="TermCapRate">#REF!</definedName>
    <definedName name="TermFees">#REF!</definedName>
    <definedName name="terminal_year">#REF!</definedName>
    <definedName name="TerminalCapRate">#REF!</definedName>
    <definedName name="Terms_of_Reference">#REF!</definedName>
    <definedName name="TermSalesCosts">#REF!</definedName>
    <definedName name="TEST" hidden="1">{"cashcons",#N/A,FALSE,"CASHCONS";"cash7000",#N/A,FALSE,"CASH7000";"cash9000",#N/A,FALSE,"CASH9000";"assu7000",#N/A,FALSE,"ASSU7000";"assu9000",#N/A,FALSE,"ASSU9000";"rentroll",#N/A,FALSE,"RENTROLL";"expr7000",#N/A,FALSE,"EXPR7000";"expr9000",#N/A,FALSE,"EXPR9000"}</definedName>
    <definedName name="TEST_1" hidden="1">{"cashcons",#N/A,FALSE,"CASHCONS";"cash7000",#N/A,FALSE,"CASH7000";"cash9000",#N/A,FALSE,"CASH9000";"assu7000",#N/A,FALSE,"ASSU7000";"assu9000",#N/A,FALSE,"ASSU9000";"rentroll",#N/A,FALSE,"RENTROLL";"expr7000",#N/A,FALSE,"EXPR7000";"expr9000",#N/A,FALSE,"EXPR9000"}</definedName>
    <definedName name="test100" hidden="1">{"View1",#N/A,FALSE,"Sheet1";"View2",#N/A,FALSE,"Sheet1"}</definedName>
    <definedName name="Test2" hidden="1">{"INCOME",#N/A,FALSE,"ProNet";"VALUE",#N/A,FALSE,"ProNet"}</definedName>
    <definedName name="Test3" hidden="1">{"INCOME",#N/A,FALSE,"ProNet";"VALUE",#N/A,FALSE,"ProNet"}</definedName>
    <definedName name="test4" hidden="1">{"CHART",#N/A,FALSE,"Arch Communications"}</definedName>
    <definedName name="TestAdd">"Test RefersTo1"</definedName>
    <definedName name="testcopy3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testing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testing2" hidden="1">{"View1",#N/A,FALSE,"Sheet1";"View2",#N/A,FALSE,"Sheet1"}</definedName>
    <definedName name="testparkave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Third_Tranche">#REF!</definedName>
    <definedName name="thirdparty">#REF!</definedName>
    <definedName name="thirdparty2">#REF!</definedName>
    <definedName name="THRESHOLD_ANALYSIS">#REF!</definedName>
    <definedName name="ti">#REF!</definedName>
    <definedName name="TI_Schedule">#REF!</definedName>
    <definedName name="tic">#REF!</definedName>
    <definedName name="Tick">#REF!</definedName>
    <definedName name="Ticker">#REF!</definedName>
    <definedName name="TickerNumber">#REF!</definedName>
    <definedName name="Tickmark_a">#REF!</definedName>
    <definedName name="Tickmark_b">#REF!</definedName>
    <definedName name="Tickmark_c">#REF!</definedName>
    <definedName name="Tickmark_d">#REF!</definedName>
    <definedName name="Tickmark_e">#REF!</definedName>
    <definedName name="Tickmark_f">#REF!</definedName>
    <definedName name="Tickmark_g">#REF!</definedName>
    <definedName name="Tickmark_h">#REF!</definedName>
    <definedName name="Tickmark_i">#REF!</definedName>
    <definedName name="Tickmark_j">#REF!</definedName>
    <definedName name="Tickmark_k">#REF!</definedName>
    <definedName name="Tickmark_l">#REF!</definedName>
    <definedName name="Tickmark_m">#REF!</definedName>
    <definedName name="Tickmark_n">#REF!</definedName>
    <definedName name="Tickmark_o">#REF!</definedName>
    <definedName name="Tickmark_p">#REF!</definedName>
    <definedName name="Tickmark_q">#REF!</definedName>
    <definedName name="Tickmark_r">#REF!</definedName>
    <definedName name="Tickmark_s">#REF!</definedName>
    <definedName name="Tickmark_t">#REF!</definedName>
    <definedName name="Tickmark_u">#REF!</definedName>
    <definedName name="Tickmark_v">#REF!</definedName>
    <definedName name="Tickmark_w">#REF!</definedName>
    <definedName name="Tickmark_x">#REF!</definedName>
    <definedName name="Tickmark_y">#REF!</definedName>
    <definedName name="Tickmark_z">#REF!</definedName>
    <definedName name="tilcdebt">#REF!</definedName>
    <definedName name="titi">#REF!</definedName>
    <definedName name="TITLE_SCREEN">#REF!</definedName>
    <definedName name="Title1">#REF!</definedName>
    <definedName name="Title2">#REF!</definedName>
    <definedName name="Title3">#REF!</definedName>
    <definedName name="titleprn">#REF!</definedName>
    <definedName name="TLOSS">#REF!</definedName>
    <definedName name="tntimpr1531">#REF!</definedName>
    <definedName name="TOC">#REF!</definedName>
    <definedName name="TOP">#REF!</definedName>
    <definedName name="tot_no_units">#REF!</definedName>
    <definedName name="Total_Bond_Issue">#REF!</definedName>
    <definedName name="total_bond_proceeds">#REF!</definedName>
    <definedName name="Total_Bonds">#REF!</definedName>
    <definedName name="total_construction_interest">#REF!</definedName>
    <definedName name="total_development_cost">#REF!</definedName>
    <definedName name="Total_development_costs">#REF!</definedName>
    <definedName name="total_draw">#REF!</definedName>
    <definedName name="Total_Financed_Amount">#REF!</definedName>
    <definedName name="total_financing_proceeds">#REF!</definedName>
    <definedName name="total_hard_costs">#REF!</definedName>
    <definedName name="Total_Interest">#REF!</definedName>
    <definedName name="Total_land_bldg">#REF!</definedName>
    <definedName name="Total_Loan">#REF!</definedName>
    <definedName name="Total_Net_Purchase_Price">#REF!</definedName>
    <definedName name="Total_NRA">#REF!</definedName>
    <definedName name="total_operating_deficit">#REF!</definedName>
    <definedName name="Total_Pay">#REF!</definedName>
    <definedName name="Total_Payment">Scheduled_Payment+Extra_Payment</definedName>
    <definedName name="total_pre_con">#REF!</definedName>
    <definedName name="Total_project_costs">#REF!</definedName>
    <definedName name="total_residential_debt">#REF!</definedName>
    <definedName name="Total_Sales_Price">#REF!</definedName>
    <definedName name="total_units">#REF!</definedName>
    <definedName name="TotalAssets">#REF!</definedName>
    <definedName name="TotalBudget">#REF!</definedName>
    <definedName name="TotalCapEx">#REF!</definedName>
    <definedName name="TOTALCARRY">#REF!</definedName>
    <definedName name="TotalCost">#REF!</definedName>
    <definedName name="TotalCurrentAssets">#REF!</definedName>
    <definedName name="TotalCurrentLiabilities">#REF!</definedName>
    <definedName name="TotalDebt">#REF!</definedName>
    <definedName name="totaleq">#REF!</definedName>
    <definedName name="TotalEquity">#REF!</definedName>
    <definedName name="TotalEquityValue">#REF!</definedName>
    <definedName name="TotalHardCosts" hidden="1">#REF!</definedName>
    <definedName name="TotalHardCosts2">#REF!</definedName>
    <definedName name="TotalHardCosts3">#REF!</definedName>
    <definedName name="TOTALINCOME">#REF!</definedName>
    <definedName name="TotalLiabilities">#REF!</definedName>
    <definedName name="TotalLiabilitiesAndEquity">#REF!</definedName>
    <definedName name="TOTALLOAN">#REF!</definedName>
    <definedName name="TotalPreferred">#REF!</definedName>
    <definedName name="TotalProjectCost">TotalDevelopmentCost+TotalAcquisitionCost</definedName>
    <definedName name="TotalProjectCost1">TotalDevelopmentCost+TotalAcquisitionCost</definedName>
    <definedName name="TotalProjectOHLot" hidden="1">#REF!</definedName>
    <definedName name="TotalResiSF">#REF!</definedName>
    <definedName name="TotalRetailCost">#REF!</definedName>
    <definedName name="TotalRevenue">#REF!</definedName>
    <definedName name="TotalRSF">#REF!</definedName>
    <definedName name="TotalSalesPrice" hidden="1">#REF!</definedName>
    <definedName name="totalSF">#REF!</definedName>
    <definedName name="TotalSharesOutstanding">#REF!</definedName>
    <definedName name="totalsources">#REF!</definedName>
    <definedName name="TotalUnits">#REF!</definedName>
    <definedName name="totaluses">#REF!</definedName>
    <definedName name="TOTCAP">#REF!</definedName>
    <definedName name="Totcosts">#REF!</definedName>
    <definedName name="TotPropIRR">#REF!</definedName>
    <definedName name="totsf">#REF!</definedName>
    <definedName name="Tour">#REF!</definedName>
    <definedName name="towers">#REF!</definedName>
    <definedName name="townh" hidden="1">{#N/A,#N/A,FALSE,"A";#N/A,#N/A,FALSE,"C"}</definedName>
    <definedName name="TPAR">#REF!</definedName>
    <definedName name="TPC">TotalDevelopmentCost+TotalAcquisitionCost</definedName>
    <definedName name="tpp">#REF!</definedName>
    <definedName name="TR">#REF!</definedName>
    <definedName name="Trades">#REF!</definedName>
    <definedName name="Trades_2">#REF!</definedName>
    <definedName name="Tranche_1_Int">#REF!</definedName>
    <definedName name="Tranche_2_Int">#REF!</definedName>
    <definedName name="Tranche_3_Int">#REF!</definedName>
    <definedName name="TRANS1">#REF!</definedName>
    <definedName name="transaction">#REF!</definedName>
    <definedName name="Transaction_Types">#REF!</definedName>
    <definedName name="Transactional_Issues">#REF!</definedName>
    <definedName name="Transcosts">#REF!</definedName>
    <definedName name="TRANSFER">#REF!</definedName>
    <definedName name="TRAVEL">#REF!</definedName>
    <definedName name="Treasury">#REF!</definedName>
    <definedName name="trend">#REF!</definedName>
    <definedName name="trhrwty" hidden="1">#REF!</definedName>
    <definedName name="trial" hidden="1">{"Outflow 1",#N/A,FALSE,"Outflows-Inflows";"Outflow 2",#N/A,FALSE,"Outflows-Inflows";"Inflow 1",#N/A,FALSE,"Outflows-Inflows";"Inflow 2",#N/A,FALSE,"Outflows-Inflows"}</definedName>
    <definedName name="trialbalance">#REF!</definedName>
    <definedName name="triple_net">#REF!</definedName>
    <definedName name="TRR">#REF!</definedName>
    <definedName name="ts">#REF!</definedName>
    <definedName name="tsf">#REF!</definedName>
    <definedName name="tt">#REF!</definedName>
    <definedName name="tte">#REF!</definedName>
    <definedName name="ttt" hidden="1">#REF!</definedName>
    <definedName name="TUNITS">#REF!</definedName>
    <definedName name="turnover">#REF!</definedName>
    <definedName name="Two">#REF!</definedName>
    <definedName name="tyler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tyler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TYPE">#REF!</definedName>
    <definedName name="UDOE1">#REF!</definedName>
    <definedName name="UDOE2">#REF!</definedName>
    <definedName name="uizguz" hidden="1">#REF!</definedName>
    <definedName name="UNIT_">#REF!</definedName>
    <definedName name="UNITS">#REF!</definedName>
    <definedName name="units1">+#REF!</definedName>
    <definedName name="unitsCondos">#REF!</definedName>
    <definedName name="UnitsPopulated" hidden="1">#REF!</definedName>
    <definedName name="UNITSres">#REF!</definedName>
    <definedName name="unitss">#REF!</definedName>
    <definedName name="UNITTYPE">#REF!</definedName>
    <definedName name="Unl_Uses" localSheetId="2">#REF!</definedName>
    <definedName name="Unl_Uses">Proforma!#REF!</definedName>
    <definedName name="unlev_fcf_rate">#REF!</definedName>
    <definedName name="UNLEVERAGED_AFTER_TAX_ANALYSIS">#REF!</definedName>
    <definedName name="UnReg">#REF!</definedName>
    <definedName name="UnReg2000">#REF!</definedName>
    <definedName name="UnUsed1">#REF!</definedName>
    <definedName name="UPDATE_TOTALS">#REF!</definedName>
    <definedName name="UpdatedBy">#REF!</definedName>
    <definedName name="upper">#REF!</definedName>
    <definedName name="USInflation">#REF!</definedName>
    <definedName name="usr">#REF!</definedName>
    <definedName name="UTAMORT">#REF!</definedName>
    <definedName name="UTBENEFITS">#REF!</definedName>
    <definedName name="UTEQUITY">#REF!</definedName>
    <definedName name="UTLOSS">#REF!</definedName>
    <definedName name="UTMOIRR1">#REF!</definedName>
    <definedName name="UTQIRR">#REF!</definedName>
    <definedName name="UTRESERVES">#REF!</definedName>
    <definedName name="uu" hidden="1">#REF!</definedName>
    <definedName name="üüü" hidden="1">#REF!</definedName>
    <definedName name="uyfkf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UYR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v" hidden="1">#REF!</definedName>
    <definedName name="V.__BORROWING_ENTITY">#REF!</definedName>
    <definedName name="Vaca">#REF!</definedName>
    <definedName name="vacancy_factor">#REF!</definedName>
    <definedName name="Vacancy_Rate">#REF!</definedName>
    <definedName name="VacancyMinimum">#REF!</definedName>
    <definedName name="VACANT">#REF!</definedName>
    <definedName name="VacUnits">#REF!</definedName>
    <definedName name="valuation">#REF!</definedName>
    <definedName name="ValuationVariables">#REF!</definedName>
    <definedName name="ValuationVariablesUK">#REF!</definedName>
    <definedName name="ValuationYear">#REF!</definedName>
    <definedName name="Value" localSheetId="2" hidden="1">{#N/A,#N/A,FALSE,"Cashflow Analysis";#N/A,#N/A,FALSE,"Sensitivity Analysis";#N/A,#N/A,FALSE,"PV";#N/A,#N/A,FALSE,"Pro Forma"}</definedName>
    <definedName name="Value" hidden="1">{#N/A,#N/A,FALSE,"Cashflow Analysis";#N/A,#N/A,FALSE,"Sensitivity Analysis";#N/A,#N/A,FALSE,"PV";#N/A,#N/A,FALSE,"Pro Forma"}</definedName>
    <definedName name="Value.2" hidden="1">{#N/A,#N/A,FALSE,"Cashflow Analysis";#N/A,#N/A,FALSE,"Sensitivity Analysis";#N/A,#N/A,FALSE,"PV";#N/A,#N/A,FALSE,"Pro Forma"}</definedName>
    <definedName name="value_date">#REF!</definedName>
    <definedName name="value1" localSheetId="2" hidden="1">{#N/A,#N/A,FALSE,"Cashflow Analysis";#N/A,#N/A,FALSE,"Sensitivity Analysis";#N/A,#N/A,FALSE,"PV";#N/A,#N/A,FALSE,"Pro Forma"}</definedName>
    <definedName name="value1" hidden="1">{#N/A,#N/A,FALSE,"Cashflow Analysis";#N/A,#N/A,FALSE,"Sensitivity Analysis";#N/A,#N/A,FALSE,"PV";#N/A,#N/A,FALSE,"Pro Forma"}</definedName>
    <definedName name="value1.2" hidden="1">{#N/A,#N/A,FALSE,"Cashflow Analysis";#N/A,#N/A,FALSE,"Sensitivity Analysis";#N/A,#N/A,FALSE,"PV";#N/A,#N/A,FALSE,"Pro Forma"}</definedName>
    <definedName name="Values_Entered">IF(Loan_Amount*Interest_Rate*Loan_Years*Loan_Start&gt;0,1,0)</definedName>
    <definedName name="var96_96" localSheetId="2" hidden="1">{#N/A,#N/A,FALSE,"B_Spread"}</definedName>
    <definedName name="var96_96" hidden="1">{#N/A,#N/A,FALSE,"B_Spread"}</definedName>
    <definedName name="VariablePercentChanges">#REF!</definedName>
    <definedName name="VBBV" hidden="1">{#N/A,#N/A,FALSE,"T-1 Intangibles"}</definedName>
    <definedName name="venturefund">#REF!</definedName>
    <definedName name="Version">#REF!</definedName>
    <definedName name="VERSION_NOTES">#REF!</definedName>
    <definedName name="Version1">#REF!</definedName>
    <definedName name="Version2">#REF!</definedName>
    <definedName name="vghjkvgh" hidden="1">{#N/A,#N/A,FALSE,"Expense Detail ";#N/A,#N/A,FALSE,"Worksheet";#N/A,#N/A,FALSE,"Audit";#N/A,#N/A,FALSE,"Exclusions";#N/A,#N/A,FALSE,"Variance";#N/A,#N/A,FALSE,"Reconciliation"}</definedName>
    <definedName name="vghvgh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vhjh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VI.__PROPERTY_MANAGEMENT">#REF!</definedName>
    <definedName name="VII.__TENANT_PROFILE">#REF!</definedName>
    <definedName name="VIII.__MARKET___SUBMARKET_and_NEIGHBORHOOD_ANALYSIS">#REF!</definedName>
    <definedName name="VO_Criteria">#REF!</definedName>
    <definedName name="VS">#REF!</definedName>
    <definedName name="vv" hidden="1">#REF!</definedName>
    <definedName name="vvv" hidden="1">#REF!</definedName>
    <definedName name="vvvhjh" hidden="1">#REF!</definedName>
    <definedName name="vvvv" hidden="1">{#N/A,#N/A,FALSE,"Cashflow Analysis";#N/A,#N/A,FALSE,"Sensitivity Analysis";#N/A,#N/A,FALSE,"PV";#N/A,#N/A,FALSE,"Pro Forma"}</definedName>
    <definedName name="VVVV.2" hidden="1">{#N/A,#N/A,FALSE,"Cashflow Analysis";#N/A,#N/A,FALSE,"Sensitivity Analysis";#N/A,#N/A,FALSE,"PV";#N/A,#N/A,FALSE,"Pro Forma"}</definedName>
    <definedName name="vvvvc" hidden="1">#REF!</definedName>
    <definedName name="vz" hidden="1">{"mgmt forecast",#N/A,FALSE,"Mgmt Forecast";"dcf table",#N/A,FALSE,"Mgmt Forecast";"sensitivity",#N/A,FALSE,"Mgmt Forecast";"table inputs",#N/A,FALSE,"Mgmt Forecast";"calculations",#N/A,FALSE,"Mgmt Forecast"}</definedName>
    <definedName name="vzx" hidden="1">{"mgmt forecast",#N/A,FALSE,"Mgmt Forecast";"dcf table",#N/A,FALSE,"Mgmt Forecast";"sensitivity",#N/A,FALSE,"Mgmt Forecast";"table inputs",#N/A,FALSE,"Mgmt Forecast";"calculations",#N/A,FALSE,"Mgmt Forecast"}</definedName>
    <definedName name="w" hidden="1">#REF!</definedName>
    <definedName name="WACC">#REF!</definedName>
    <definedName name="WACC_sen">#REF!</definedName>
    <definedName name="wafe" hidden="1">{"summary1",#N/A,TRUE,"Comps";"summary2",#N/A,TRUE,"Comps";"summary3",#N/A,TRUE,"Comps"}</definedName>
    <definedName name="wages">#REF!</definedName>
    <definedName name="WAM">#REF!</definedName>
    <definedName name="Water" hidden="1">{#N/A,#N/A,FALSE,"COVER";#N/A,#N/A,FALSE,"TABLE OF CONTENTS";#N/A,#N/A,FALSE,"EXEC SUMM";#N/A,#N/A,FALSE,"SURVEY";#N/A,#N/A,FALSE,"PROSPECT";#N/A,#N/A,FALSE,"NEW,EXPANSION,RENEWAL,RELET";#N/A,#N/A,FALSE,"EXPIRED,DEFAULTED";#N/A,#N/A,FALSE,"SIGNED LEASES";#N/A,#N/A,FALSE,"LOST TRANSACTIONS ";#N/A,#N/A,FALSE,"STACKING PLAN";#N/A,#N/A,FALSE,"EXPIRATIONS";#N/A,#N/A,FALSE,"OPTIONS";#N/A,#N/A,FALSE,"SUBLEASE";#N/A,#N/A,FALSE,"AR ANALYSIS";#N/A,#N/A,FALSE,"NER_IN_PLACE";#N/A,#N/A,FALSE,"NER_ACQ_DATE";#N/A,#N/A,FALSE,"titles"}</definedName>
    <definedName name="wc_Hotel">#REF!</definedName>
    <definedName name="WCClerical">#REF!</definedName>
    <definedName name="wdrwer" hidden="1">{#N/A,#N/A,FALSE,"North Central Life";#N/A,#N/A,FALSE,"Town Square";#N/A,#N/A,FALSE,"Summary"}</definedName>
    <definedName name="WEA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c">#REF!</definedName>
    <definedName name="wefaf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eightedAverageShares">#REF!</definedName>
    <definedName name="weird2" hidden="1">{"cashcons",#N/A,FALSE,"CASHCONS";"cash7000",#N/A,FALSE,"CASH7000";"cash9000",#N/A,FALSE,"CASH9000";"assu7000",#N/A,FALSE,"ASSU7000";"assu9000",#N/A,FALSE,"ASSU9000";"rentroll",#N/A,FALSE,"RENTROLL";"expr7000",#N/A,FALSE,"EXPR7000";"expr9000",#N/A,FALSE,"EXPR9000"}</definedName>
    <definedName name="WEQQE" hidden="1">{"summary1",#N/A,TRUE,"Comps";"summary2",#N/A,TRUE,"Comps";"summary3",#N/A,TRUE,"Comps"}</definedName>
    <definedName name="wertewrt" hidden="1">#REF!</definedName>
    <definedName name="West" hidden="1">#REF!</definedName>
    <definedName name="West_mthly">OFFSET(#REF!,0,0,1,COUNT(#REF!))</definedName>
    <definedName name="West_pmts">OFFSET(#REF!,0,0,COUNT(#REF!),1)</definedName>
    <definedName name="WH">#REF!</definedName>
    <definedName name="What" hidden="1">#REF!</definedName>
    <definedName name="what_asdf2" hidden="1">{#N/A,#N/A,FALSE,"OperatingAssumptions"}</definedName>
    <definedName name="whatwhat" hidden="1">{"Page1",#N/A,FALSE,"7979";"Page2",#N/A,FALSE,"7979";"Page3",#N/A,FALSE,"7979"}</definedName>
    <definedName name="whitehall">#REF!</definedName>
    <definedName name="WHSPLIT">#REF!</definedName>
    <definedName name="withholdreserve">#REF!</definedName>
    <definedName name="WORKCAP">#REF!</definedName>
    <definedName name="WorkersComp">#REF!</definedName>
    <definedName name="WQCWRC" hidden="1">#REF!</definedName>
    <definedName name="WQE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r" hidden="1">{"Output-3Column",#N/A,FALSE,"Output"}</definedName>
    <definedName name="wrd.2._.pagers.3" hidden="1">{"Cover",#N/A,FALSE,"Cover";"Summary",#N/A,FALSE,"Summarpage"}</definedName>
    <definedName name="WriteUp_inventories">#REF!</definedName>
    <definedName name="WriteUp_otherCA">#REF!</definedName>
    <definedName name="WriteUp_otherCL">#REF!</definedName>
    <definedName name="WriteUp_otherLTA">#REF!</definedName>
    <definedName name="WriteUp_otherLTL">#REF!</definedName>
    <definedName name="WriteUp_payables">#REF!</definedName>
    <definedName name="WriteUP_PPE">#REF!</definedName>
    <definedName name="WriteUp_receivables">#REF!</definedName>
    <definedName name="writeupdeprec">#REF!</definedName>
    <definedName name="wrn" hidden="1">{"Inflation-BaseYear",#N/A,FALSE,"Inputs"}</definedName>
    <definedName name="wrn.1.._.Assumptions." hidden="1">{#N/A,#N/A,TRUE,"Assumptions";#N/A,#N/A,TRUE,"General";#N/A,#N/A,TRUE,"Rooms";#N/A,#N/A,TRUE,"F&amp;B&amp;Banq";#N/A,#N/A,TRUE,"Minor";#N/A,#N/A,TRUE,"NonOper";#N/A,#N/A,TRUE,"DebtVar";#N/A,#N/A,TRUE,"DevVar"}</definedName>
    <definedName name="wrn.10._.Year._.Analysis." hidden="1">{"Data Input",#N/A,TRUE,"Data Input";"10-Yr Cash Flow",#N/A,TRUE,"Cash Flow";"10-Yr Value",#N/A,TRUE,"Value "}</definedName>
    <definedName name="wrn.1111._.Report." hidden="1">{#N/A,#N/A,FALSE,"Annualized Flows";#N/A,#N/A,FALSE,"Comparison";#N/A,#N/A,FALSE,"OpEx - Detail";#N/A,#N/A,FALSE,"Overall - Summary";#N/A,#N/A,FALSE,"Revenue - Summary";#N/A,#N/A,FALSE,"Rental - Detail";#N/A,#N/A,FALSE,"Escalate - Template";#N/A,#N/A,FALSE,"Escalate - Tenants";#N/A,#N/A,FALSE,"Escalate - M to M";#N/A,#N/A,FALSE,"Garage - Detail";#N/A,#N/A,FALSE,"Other - Detail";#N/A,#N/A,FALSE,"OpEx - Summary";#N/A,#N/A,FALSE,"Notes (2)";#N/A,#N/A,FALSE,"Notes";#N/A,#N/A,FALSE,"NRExp - Summary";#N/A,#N/A,FALSE,"NRExp - Detail";#N/A,#N/A,FALSE,"Capx - Summary";#N/A,#N/A,FALSE,"Capx - Detail";#N/A,#N/A,FALSE,"Debt";#N/A,#N/A,FALSE,"Forecast - Summary";#N/A,#N/A,FALSE,"Forecast - Detail";#N/A,#N/A,FALSE,"Forecast - Rent";#N/A,#N/A,FALSE,"Forecast - Garage";#N/A,#N/A,FALSE,"Forecast - Capx"}</definedName>
    <definedName name="wrn.12._.MONTH._.SPREAD." hidden="1">{#N/A,#N/A,FALSE,"CPM";#N/A,#N/A,FALSE,"CVI";#N/A,#N/A,FALSE,"RNL";#N/A,#N/A,FALSE,"HAL";#N/A,#N/A,FALSE,"WPL";#N/A,#N/A,FALSE,"RPL";#N/A,#N/A,FALSE,"GVA";#N/A,#N/A,FALSE,"LRJKL";#N/A,#N/A,FALSE,"LPCVI";#N/A,#N/A,FALSE,"RGW and RGW2";#N/A,#N/A,FALSE,"RHL";#N/A,#N/A,FALSE,"HRP";#N/A,#N/A,FALSE,"WPE";#N/A,#N/A,FALSE,"DEL";#N/A,#N/A,FALSE,"PCA";#N/A,#N/A,FALSE,"PBL";#N/A,#N/A,FALSE,"KLL";#N/A,#N/A,FALSE,"RCR";#N/A,#N/A,FALSE,"LRJ#1";#N/A,#N/A,FALSE,"LRJ#2";#N/A,#N/A,FALSE,"OPL"}</definedName>
    <definedName name="wrn.15._.Year._.Analysis." hidden="1">{"Data Input",#N/A,TRUE,"Data Input";"15-Yr Cash Flow",#N/A,TRUE,"Cash Flow";"15-Yr Value",#N/A,TRUE,"Value "}</definedName>
    <definedName name="wrn.1995._.Analysis." hidden="1">{#N/A,#N/A,FALSE,"1995 Rev &amp; Exp"}</definedName>
    <definedName name="wrn.1997." hidden="1">{"CoverSheet",#N/A,TRUE,"97CoverPage";#N/A,#N/A,TRUE,"97TableOfContents";"CY 1997",#N/A,TRUE,"97CashFlowBeforeFinancing";"CY 1997",#N/A,TRUE,"97CashFlowAfterFinancing ";"CY 1997",#N/A,TRUE,"97Escrow Closings (all) ";"CY 1997",#N/A,TRUE,"97Revenue Summary";"CY 1997",#N/A,TRUE,"97 A-1 Sales";"CY 1997",#N/A,TRUE,"97 A-2 Sales";"CY 1997",#N/A,TRUE,"97 B-1 Sales";"CY 1997",#N/A,TRUE,"97 B-2 Sales";"CY 1997",#N/A,TRUE,"97 D-1 Sales";"CY 1997",#N/A,TRUE,"97 H Sales";"CY 1997",#N/A,TRUE,"97 I Sales";"CY 1997",#N/A,TRUE,"97 J Sales";"CY 1997",#N/A,TRUE,"97 K Sales";"CY 1997",#N/A,TRUE,"97 Land ";"CY 1997",#N/A,TRUE,"97 Pre-Development";"CY 1997",#N/A,TRUE,"97Construction Summary ";"CY 1997",#N/A,TRUE,"97 A-1 DevCosts";"CY 1997",#N/A,TRUE,"97 A-2 DevCosts";"CY 1997",#N/A,TRUE,"97 B-1 DevCosts";"CY 1997",#N/A,TRUE,"97 B-2 DevCosts";"CY 1997",#N/A,TRUE,"97 C DevCosts";#N/A,#N/A,TRUE,"97 D-1 DevCosts";"CY 1997",#N/A,TRUE,"97 E Dev Costs";"CY 1997",#N/A,TRUE,"97 G Dev Costs";#N/A,#N/A,TRUE,"97 H Dev Costs";#N/A,#N/A,TRUE,"97 I Dev Costs";"CY 1997",#N/A,TRUE,"97 J Dev Costs";#N/A,#N/A,TRUE,"97 K Dev Costs";"CY 1997",#N/A,TRUE,"97 Master Dev. Cost Wksht";"CY 1997",#N/A,TRUE,"97 Golf Course Captial ";"CY 1997",#N/A,TRUE,"97 Indirect &amp; Operating Costs ";"CY 1997",#N/A,TRUE,"97 Other SalesRevenue";"CY 1997",#N/A,TRUE,"97 Village Absorption";"CY 1997",#N/A,TRUE,"97 FINANCING";#N/A,#N/A,TRUE,"97 Dev Assumptions";#N/A,#N/A,TRUE,"97 A&amp;B Development Cost";#N/A,#N/A,TRUE,"97 B-2 Bonding ";#N/A,#N/A,TRUE,"97 E Supplemental Schedule";#N/A,#N/A,TRUE,"97 Factors"}</definedName>
    <definedName name="wrn.1998._.Budget." hidden="1">{#N/A,#N/A,FALSE,"A";#N/A,#N/A,FALSE,"B";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}</definedName>
    <definedName name="wrn.19982" hidden="1">{#N/A,#N/A,FALSE,"A";#N/A,#N/A,FALSE,"B";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}</definedName>
    <definedName name="wrn.2" hidden="1">{#N/A,#N/A,FALSE,"Cash Flow";#N/A,#N/A,FALSE,"FFO";#N/A,#N/A,FALSE,"Dvlpt Assumptions";#N/A,#N/A,FALSE,"Equity &amp; Constr Financing";#N/A,#N/A,FALSE,"JV Fee Analysis - cash";#N/A,#N/A,FALSE,"JV Fee Analysis - GAAP";#N/A,#N/A,FALSE,"Prop CF Adj";#N/A,#N/A,FALSE,"Land Sales";#N/A,#N/A,FALSE,"Capex, existing";#N/A,#N/A,FALSE,"Capex,97 Budget";#N/A,#N/A,FALSE,"Capex, dvlpt";#N/A,#N/A,FALSE,"Cap overhead";#N/A,#N/A,FALSE,"Project Equity";#N/A,#N/A,FALSE,"Leasing Fees";#N/A,#N/A,FALSE,"Debt";#N/A,#N/A,FALSE,"Capitalized Interest";#N/A,#N/A,FALSE,"FF&amp; E Loan";#N/A,#N/A,FALSE,"Strip loan";#N/A,#N/A,FALSE,"Franklin Loan";#N/A,#N/A,FALSE,"Poto_Gurn Amortiz";#N/A,#N/A,FALSE,"Dividend Distr";#N/A,#N/A,FALSE,"Investment in Partnerships";#N/A,#N/A,FALSE,"JV Ops Cash Flow Adj.";#N/A,#N/A,FALSE,"Ontario";#N/A,#N/A,FALSE,"Ontario-Proj";#N/A,#N/A,FALSE,"Ont Debt";#N/A,#N/A,FALSE,"Grapevine";#N/A,#N/A,FALSE,"Grapevine-Proj";#N/A,#N/A,FALSE,"Arizona";#N/A,#N/A,FALSE,"Arizona - Proj";#N/A,#N/A,FALSE,"Sawgrass Ph III";#N/A,#N/A,FALSE,"Saw Phase III-Proj";#N/A,#N/A,FALSE,"City Center";#N/A,#N/A,FALSE,"City Center-Proj";#N/A,#N/A,FALSE,"Columbus";#N/A,#N/A,FALSE,"Columbus-Proj";#N/A,#N/A,FALSE,"Atlanta";#N/A,#N/A,FALSE,"Atlanta-Proj";#N/A,#N/A,FALSE,"Monee";#N/A,#N/A,FALSE,"Monee-Proj";#N/A,#N/A,FALSE,"Houston";#N/A,#N/A,FALSE,"Houston-Proj";#N/A,#N/A,FALSE,"San Francisco";#N/A,#N/A,FALSE,"San Francisco-Proj";#N/A,#N/A,FALSE,"Meadowlands";#N/A,#N/A,FALSE,"Meadowlands-Proj";#N/A,#N/A,FALSE,"Toronto";#N/A,#N/A,FALSE,"Toronto-Proj"}</definedName>
    <definedName name="wrn.2.._.PROSPECTUS._.without._.Market." hidden="1">{#N/A,#N/A,TRUE,"DevBud";#N/A,#N/A,TRUE,"Fin";#N/A,#N/A,TRUE,"Consol";#N/A,#N/A,TRUE,"CFSummary";#N/A,#N/A,TRUE,"HotelCF";#N/A,#N/A,TRUE,"Golf";#N/A,#N/A,TRUE,"F&amp;B_CF";#N/A,#N/A,TRUE,"Banq";#N/A,#N/A,TRUE,"Spa"}</definedName>
    <definedName name="wrn.2._.pagers." hidden="1">{"Cover",#N/A,FALSE,"Cover";"Summary",#N/A,FALSE,"Summarpage"}</definedName>
    <definedName name="wrn.2._.pagers.2" hidden="1">{"Cover",#N/A,FALSE,"Cover";"Summary",#N/A,FALSE,"Summarpage"}</definedName>
    <definedName name="wrn.222W83._.RR." hidden="1">{"aa",#N/A,FALSE,"222W83 Resid ";"bbb",#N/A,FALSE,"222W83 Resid ";"cc",#N/A,FALSE,"222W83 Resid "}</definedName>
    <definedName name="wrn.3.._.PROSPECTUS._.Ancillary." hidden="1">{#N/A,#N/A,FALSE,"Assumptions";#N/A,#N/A,FALSE,"Mtng Space";#N/A,#N/A,FALSE,"Golf Clubs";#N/A,#N/A,FALSE,"Smith Travel"}</definedName>
    <definedName name="wrn.360w55._.RR." hidden="1">{"aa",#N/A,FALSE,"360 West 55th";"bb",#N/A,FALSE,"360 West 55th";"cc",#N/A,FALSE,"360 West 55th"}</definedName>
    <definedName name="wrn.370._.RR." hidden="1">{"rr1",#N/A,FALSE,"Rent Roll";"rr2",#N/A,FALSE,"Rent Roll";"rr3",#N/A,FALSE,"Rent Roll";"rr4",#N/A,FALSE,"Rent Roll";"rr5",#N/A,FALSE,"Rent Roll";"rr6",#N/A,FALSE,"Rent Roll"}</definedName>
    <definedName name="wrn.370EXP." hidden="1">{"exp1",#N/A,FALSE,"Expiration";"exp2",#N/A,FALSE,"Expiration";"exp3",#N/A,FALSE,"Expiration";"exp4",#N/A,FALSE,"Expiration"}</definedName>
    <definedName name="wrn.399." localSheetId="2" hidden="1">{#N/A,#N/A,FALSE,"A";#N/A,#N/A,FALSE,"C"}</definedName>
    <definedName name="wrn.399." hidden="1">{#N/A,#N/A,FALSE,"A";#N/A,#N/A,FALSE,"C"}</definedName>
    <definedName name="wrn.3cases." hidden="1">{#N/A,"Base",FALSE,"Dividend";#N/A,"Conservative",FALSE,"Dividend";#N/A,"Downside",FALSE,"Dividend"}</definedName>
    <definedName name="wrn.4.._.Market._.PROSPECTUS._.Pages." hidden="1">{#N/A,#N/A,FALSE,"Mkt-Hotels";#N/A,#N/A,FALSE,"Mkt-ConvCtrs";#N/A,#N/A,FALSE,"Mkt-Golf"}</definedName>
    <definedName name="wrn.42._.Portfolio." hidden="1">{#N/A,#N/A,FALSE,"Consolidate Portfolio";#N/A,#N/A,FALSE,"Ashley";#N/A,#N/A,FALSE,"Atrium";#N/A,#N/A,FALSE,"Biscayne";#N/A,#N/A,FALSE,"Boulder";#N/A,#N/A,FALSE,"Braden";#N/A,#N/A,FALSE,"Cambridge";#N/A,#N/A,FALSE,"Carnegie";#N/A,#N/A,FALSE,"Charleston";#N/A,#N/A,FALSE,"Chasewood";#N/A,#N/A,FALSE,"ClubNorthHills";#N/A,#N/A,FALSE,"Cornerstone";#N/A,#N/A,FALSE,"Courtyard";#N/A,#N/A,FALSE,"Culpeper ";#N/A,#N/A,FALSE,"DoverFarms";#N/A,#N/A,FALSE,"GreenwayChase";#N/A,#N/A,FALSE,"Island Club 1";#N/A,#N/A,FALSE,"Island Club 2";#N/A,#N/A,FALSE,"IslesGateway";#N/A,#N/A,FALSE,"Kensington";#N/A,#N/A,FALSE,"LakeFront";#N/A,#N/A,FALSE,"LakeMayport";#N/A,#N/A,FALSE,"MadisonPark";#N/A,#N/A,FALSE,"MadisonRidge";#N/A,#N/A,FALSE,"Magnolia";#N/A,#N/A,FALSE,"Oaks";#N/A,#N/A,FALSE,"Paces River 1";#N/A,#N/A,FALSE,"Paces River 2";#N/A,#N/A,FALSE,"PacesRun";#N/A,#N/A,FALSE,"Paddock ";#N/A,#N/A,FALSE,"Park";#N/A,#N/A,FALSE,"PointeWest";#N/A,#N/A,FALSE,"Royal";#N/A,#N/A,FALSE,"Summer";#N/A,#N/A,FALSE,"Sunbrook";#N/A,#N/A,FALSE,"Sundance";#N/A,#N/A,FALSE,"Sutton";#N/A,#N/A,FALSE,"TownPlace";#N/A,#N/A,FALSE,"Valle";#N/A,#N/A,FALSE,"WatPark";#N/A,#N/A,FALSE,"WatPlace";#N/A,#N/A,FALSE,"WatCastleton";#N/A,#N/A,FALSE,"Wellington"}</definedName>
    <definedName name="wrn.6.._.Summary." hidden="1">{#N/A,#N/A,TRUE,"Exec";#N/A,#N/A,TRUE,"Fin";#N/A,#N/A,TRUE,"Consol"}</definedName>
    <definedName name="wrn.617" hidden="1">{#N/A,#N/A,FALSE,"Income Stmt";#N/A,#N/A,FALSE,"Income Summary"}</definedName>
    <definedName name="wrn.7.._.Historical." hidden="1">{#N/A,#N/A,TRUE,"Hist"}</definedName>
    <definedName name="wrn.98A." hidden="1">{#N/A,#N/A,FALSE,"Title";#N/A,#N/A,FALSE,"VARSUM98";#N/A,#N/A,FALSE,"COMPAR";#N/A,#N/A,FALSE,"51-REVEN";#N/A,#N/A,FALSE,"51-RECOV";#N/A,#N/A,FALSE,"REVENUE";#N/A,#N/A,FALSE,"52-INTRS";#N/A,#N/A,FALSE,"61-98SAL";#N/A,#N/A,FALSE,"62-CLEAN";#N/A,#N/A,FALSE,"63-UTIL";#N/A,#N/A,FALSE,"98UTILBACK";#N/A,#N/A,FALSE,"64-RM&amp;S";#N/A,#N/A,FALSE,"65-BMS";#N/A,#N/A,FALSE,"65-MGFEEX";#N/A,#N/A,FALSE,"66-INSUR";#N/A,#N/A,FALSE,"67-TAXES";#N/A,#N/A,FALSE,"Annual Assess";#N/A,#N/A,FALSE,"71-NON-RECOV EXP";#N/A,#N/A,FALSE,"71-detail";#N/A,#N/A,FALSE,"72-PRTNS";#N/A,#N/A,FALSE,"73-INTRS";#N/A,#N/A,FALSE,"10-CAPEX";#N/A,#N/A,FALSE,"17-INDUC";#N/A,#N/A,FALSE,"OPER. GRAPH";#N/A,#N/A,FALSE,"HistOpExp";#N/A,#N/A,FALSE,"HIST. OP.GRAPH"}</definedName>
    <definedName name="wrn.98BUDGET." hidden="1">{#N/A,#N/A,TRUE,"VARSUM98";#N/A,#N/A,TRUE,"COMPAR";#N/A,#N/A,TRUE,"RECEXP-S";#N/A,#N/A,TRUE,"52-INTRS";#N/A,#N/A,TRUE,"1998 SALARIES";#N/A,#N/A,TRUE,"62-CLEAN";#N/A,#N/A,TRUE,"63-UTIL";#N/A,#N/A,TRUE,"98UTILBACK";#N/A,#N/A,TRUE,"64-RM&amp;S";#N/A,#N/A,TRUE,"65-BMS";#N/A,#N/A,TRUE,"65-MGFEEX";#N/A,#N/A,TRUE,"66-INSUR";#N/A,#N/A,TRUE,"67-TAXES";#N/A,#N/A,TRUE,"Annual Assess";#N/A,#N/A,TRUE,"71-NON-RECOV EXP";#N/A,#N/A,TRUE,"71-detail";#N/A,#N/A,TRUE,"72-PRTNS";#N/A,#N/A,TRUE,"73-INTRS";#N/A,#N/A,TRUE,"10-CAPEX";#N/A,#N/A,TRUE,"17-INDUC"}</definedName>
    <definedName name="wrn.99AdjBill." hidden="1">{#N/A,#N/A,FALSE,"CAM Spreadsheet-A";#N/A,#N/A,FALSE,"CAM Expenses";#N/A,#N/A,FALSE,"Roof Repairs";#N/A,#N/A,FALSE,"WtdAvgSum-G";#N/A,#N/A,FALSE,"Weighted Averag";#N/A,#N/A,FALSE,"Pool 2A";#N/A,#N/A,FALSE,"Pool 2B";#N/A,#N/A,FALSE,"Pool 3B";#N/A,#N/A,FALSE,"Pool 4B";#N/A,#N/A,FALSE,"Pool 1C";#N/A,#N/A,FALSE,"Pool 2C";#N/A,#N/A,FALSE,"Pool 5C";#N/A,#N/A,FALSE,"Radio Shack";#N/A,#N/A,FALSE,"Gottschalks"}</definedName>
    <definedName name="wrn.99AdjBill2" hidden="1">{#N/A,#N/A,FALSE,"CAM Spreadsheet-A";#N/A,#N/A,FALSE,"CAM Expenses";#N/A,#N/A,FALSE,"Roof Repairs";#N/A,#N/A,FALSE,"WtdAvgSum-G";#N/A,#N/A,FALSE,"Weighted Averag";#N/A,#N/A,FALSE,"Pool 2A";#N/A,#N/A,FALSE,"Pool 2B";#N/A,#N/A,FALSE,"Pool 3B";#N/A,#N/A,FALSE,"Pool 4B";#N/A,#N/A,FALSE,"Pool 1C";#N/A,#N/A,FALSE,"Pool 2C";#N/A,#N/A,FALSE,"Pool 5C";#N/A,#N/A,FALSE,"Radio Shack";#N/A,#N/A,FALSE,"Gottschalks"}</definedName>
    <definedName name="wrn.A.._.Lender._.Pack." hidden="1">{#N/A,#N/A,FALSE,"DevBud--Lender";#N/A,#N/A,FALSE,"Loan Terms";#N/A,#N/A,FALSE,"LTV";#N/A,#N/A,FALSE,"Project CF";#N/A,#N/A,FALSE,"HotelCF";#N/A,#N/A,FALSE,"Comps--Primary";#N/A,#N/A,FALSE,"Comps--R-C";#N/A,#N/A,FALSE,"Space Prog";#N/A,#N/A,FALSE,"Rms Mix";#N/A,#N/A,FALSE,"Golf";#N/A,#N/A,FALSE,"Comps--Golf"}</definedName>
    <definedName name="wrn.ACCOUNTS._.PAYABLE." hidden="1">{#N/A,#N/A,FALSE,"CC-1 Accounts Payable";#N/A,#N/A,FALSE,"CC-2 Search for Unrecorded Liab"}</definedName>
    <definedName name="wrn.ACCOUNTS._.PAYABLE._1" hidden="1">{#N/A,#N/A,FALSE,"CC-1 Accounts Payable";#N/A,#N/A,FALSE,"CC-2 Search for Unrecorded Liab"}</definedName>
    <definedName name="wrn.Accretion." hidden="1">{"Accretion",#N/A,FALSE,"Assum"}</definedName>
    <definedName name="wrn.ACCRUED._.EXPENSES." hidden="1">{#N/A,#N/A,FALSE,"EE-1 Othr Acts. Pbl &amp; Accr. Exp";#N/A,#N/A,FALSE,"FF-1 Payroll Taxes";#N/A,#N/A,FALSE,"HH-1 Employee Benefit Plans"}</definedName>
    <definedName name="wrn.ACCRUED._.EXPENSES._1" hidden="1">{#N/A,#N/A,FALSE,"EE-1 Othr Acts. Pbl &amp; Accr. Exp";#N/A,#N/A,FALSE,"FF-1 Payroll Taxes";#N/A,#N/A,FALSE,"HH-1 Employee Benefit Plans"}</definedName>
    <definedName name="wrn.Acq._.Model." hidden="1">{"RTN",#N/A,FALSE,"RTN";"Inc Stmt",#N/A,FALSE,"Inc Stmt";"Stats",#N/A,FALSE,"Stats";"Rnds",#N/A,FALSE,"Rnds";"Capx",#N/A,FALSE,"CapX";"Dues",#N/A,FALSE,"Dues";"Hist",#N/A,FALSE,"Hist";"Rev1",#N/A,FALSE,"Rev";"Rev2",#N/A,FALSE,"Rev";"Exp",#N/A,FALSE,"Exp";"Rounds",#N/A,FALSE,"Rounds";"Cap Imp",#N/A,FALSE,"Cap Imp"}</definedName>
    <definedName name="wrn.Acquisition._.Model." hidden="1">{"Return",#N/A,FALSE,"RTN";"Inc Stmt",#N/A,FALSE,"Inc Stmt";"Stats",#N/A,FALSE,"Stats";"Rnds",#N/A,FALSE,"Rnds";"Dues",#N/A,FALSE,"Dues";"Capx",#N/A,FALSE,"CapX";"History",#N/A,FALSE,"Hist";"Rev",#N/A,FALSE,"Rev";"Expenses",#N/A,FALSE,"Exp";"Rounds",#N/A,FALSE,"Rounds";"Capex",#N/A,FALSE,"Capex"}</definedName>
    <definedName name="wrn.ADP3." hidden="1">{#VALUE!,#N/A,TRUE,0;#N/A,#N/A,TRUE,0;#N/A,#N/A,TRUE,0;#N/A,#N/A,TRUE,0}</definedName>
    <definedName name="wrn.AFI._.QUARTERLY._.REPORT." hidden="1">{#N/A,#N/A,TRUE,"TITLE";#N/A,#N/A,TRUE,"SCH 1";#N/A,#N/A,TRUE,"SCH 2";#N/A,#N/A,TRUE,"SCH 3";#N/A,#N/A,TRUE,"SCH3(A)"}</definedName>
    <definedName name="wrn.Aging._.and._.Trend._.Analysis." hidden="1">{#N/A,#N/A,FALSE,"Aging Summary";#N/A,#N/A,FALSE,"Ratio Analysis";#N/A,#N/A,FALSE,"Test 120 Day Accts";#N/A,#N/A,FALSE,"Tickmarks"}</definedName>
    <definedName name="wrn.ALL." localSheetId="2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" hidden="1">{#N/A,#N/A,FALSE,"CCC ACC Budget";#N/A,#N/A,FALSE,"Variance";#N/A,#N/A,FALSE,"CCC Rent Detail";#N/A,#N/A,FALSE,"COMMON AREA";#N/A,#N/A,FALSE,"CCC Electric Inclusion";#N/A,#N/A,FALSE,"CCC Opex Detail";#N/A,#N/A,FALSE,"CCC RE Tax Detail";#N/A,#N/A,FALSE,"CCC Chilled Wtr Inclusion";#N/A,#N/A,FALSE,"CCC OTHVAC ";#N/A,#N/A,FALSE,"CCC INPUT"}</definedName>
    <definedName name="wrn.All._.Consolidations." hidden="1">{#N/A,#N/A,FALSE,"Emmes Services";#N/A,#N/A,FALSE,"Emmes Capital";#N/A,#N/A,FALSE,"Emmes &amp; Co"}</definedName>
    <definedName name="wrn.All._.Inputs." hidden="1">{#N/A,#N/A,FALSE,"Primary";#N/A,#N/A,FALSE,"Secondary";#N/A,#N/A,FALSE,"Latent";#N/A,#N/A,FALSE,"Demand Inputs";#N/A,#N/A,FALSE,"Supply Addn";#N/A,#N/A,FALSE,"Mkt Pen"}</definedName>
    <definedName name="wrn.ALL._.PAGES." hidden="1">{"cashcons",#N/A,FALSE,"CASHCONS";"cash7000",#N/A,FALSE,"CASH7000";"cash9000",#N/A,FALSE,"CASH9000";"assu7000",#N/A,FALSE,"ASSU7000";"assu9000",#N/A,FALSE,"ASSU9000";"rentroll",#N/A,FALSE,"RENTROLL";"expr7000",#N/A,FALSE,"EXPR7000";"expr9000",#N/A,FALSE,"EXPR9000"}</definedName>
    <definedName name="wrn.ALL._.PAGES._1" hidden="1">{"cashcons",#N/A,FALSE,"CASHCONS";"cash7000",#N/A,FALSE,"CASH7000";"cash9000",#N/A,FALSE,"CASH9000";"assu7000",#N/A,FALSE,"ASSU7000";"assu9000",#N/A,FALSE,"ASSU9000";"rentroll",#N/A,FALSE,"RENTROLL";"expr7000",#N/A,FALSE,"EXPR7000";"expr9000",#N/A,FALSE,"EXPR9000"}</definedName>
    <definedName name="wrn.All._.Reports." hidden="1">{"Estimated Proforma",#N/A,TRUE,"Prelim. Proforma";"Sales and Marketing Budget",#N/A,TRUE,"S&amp;M Budget";"Summary Cash Flow Grid",#N/A,TRUE,"Cash Flow Grid";"Detail Project Cash Flow",#N/A,TRUE,"Cash Flow Grid";"Financing Calculation",#N/A,TRUE,"Cash Flow Grid";"Cash Flow Graph",#N/A,TRUE,"Cash Flow Graphic";"Final Proforma",#N/A,TRUE,"Final Proforma"}</definedName>
    <definedName name="wrn.All._.Schedules." hidden="1">{#N/A,#N/A,FALSE,"CF Consolidated 2";#N/A,#N/A,FALSE,"Retail Assump";#N/A,#N/A,FALSE,"CF Retail";#N/A,#N/A,FALSE,"Garage Assumpt 1";#N/A,#N/A,FALSE,"Garage Op Proj";#N/A,#N/A,FALSE,"Hist I&amp;E";#N/A,#N/A,FALSE,"Rent Roll";#N/A,#N/A,FALSE,"RE Taxes";#N/A,#N/A,FALSE,"CAM - BH";#N/A,#N/A,FALSE,"Comm.Condo CAM"}</definedName>
    <definedName name="wrn.All._.Sections." hidden="1">{#N/A,#N/A,TRUE,"Table of Contents";"Inn P&amp;L Annual",#N/A,TRUE,"Inn P&amp;L";"Condo P&amp;L Annual",#N/A,TRUE,"Condo P&amp;L";"Townhouse P&amp;L Annual",#N/A,TRUE,"Townhouse P&amp;L";"Ocean Ridge P &amp; L Annual",#N/A,TRUE,"Ocean Ridge P &amp; L";"A-2 to A-4 P&amp;L Annual",#N/A,TRUE," A-2 to A-4 P&amp;L";"Inn P&amp;L Monthly",#N/A,TRUE,"Inn P&amp;L";"Condo P&amp;L Monthly",#N/A,TRUE,"Condo P&amp;L";"Townhouse P&amp;L Monthly",#N/A,TRUE,"Townhouse P&amp;L";"Ocean Ridge Monthly P &amp; L",#N/A,TRUE,"Ocean Ridge P &amp; L";"A-2 to A-4 P&amp;L Monthly",#N/A,TRUE," A-2 to A-4 P&amp;L";"Inn Assumptions",#N/A,TRUE,"Inn Assumptions";"Condo Assumptions",#N/A,TRUE,"Condo Assumptions";"Townhouse Assumptions",#N/A,TRUE,"Townhouse Assumptions";"Ocean Ridge Assumptions",#N/A,TRUE,"Ocean Ridge Assumptions";"A-2 to A-4 Assumptions",#N/A,TRUE,"A-2 to A-4 Assumptions"}</definedName>
    <definedName name="wrn.ALL._.WORKPAPERS." hidden="1">{#N/A,#N/A,FALSE,"Std. Tickmark";#N/A,#N/A,FALSE,"Gen. File Index";#N/A,#N/A,FALSE,"Lead Index";#N/A,#N/A,FALSE,"1.2 - Cashflow";#N/A,#N/A,FALSE,"3.1 - Budget";#N/A,#N/A,FALSE,"9.3 - Analytical Procedures";#N/A,#N/A,FALSE,"AJE - Adj. Jnl. Entries";#N/A,#N/A,FALSE,"RJE - Reclass. Jnl. Entries";#N/A,#N/A,FALSE,"TB - Manual Trial Balance";#N/A,#N/A,FALSE,"A-1 Bank Reconcilation";#N/A,#N/A,FALSE,"A-2 Outstanding Checks";#N/A,#N/A,FALSE,"A-3 Savings Accounts";#N/A,#N/A,FALSE,"A-4 Certificates of Deposit";#N/A,#N/A,FALSE,"A-5 Bank Transfer Schedule";#N/A,#N/A,FALSE,"B-1 Mkt. Sec. - Int.";#N/A,#N/A,FALSE,"B-2 Mkt. Sec. - Val.";#N/A,#N/A,FALSE,"B-3 Mkt. Sec. - Gain (Loss)";#N/A,#N/A,FALSE,"C-1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Statistics";#N/A,#N/A,FALSE,"F-1 Inventory Price Test-RM";#N/A,#N/A,FALSE,"F-2 Inventory-Test Count";#N/A,#N/A,FALSE,"G-1 Prepaid Expenses-Other";#N/A,#N/A,FALSE,"G-2 Prepaid Property Taxes";#N/A,#N/A,FALSE,"G-3 Prepaid Insurance ";#N/A,#N/A,FALSE,"H-1 Notes Receivable";#N/A,#N/A,FALSE,"M-1 Property and Equipment";#N/A,#N/A,FALSE,"M-2 Asset Additions";#N/A,#N/A,FALSE,"M-3 Property Disposals";#N/A,#N/A,FALSE,"T-1 Intangibles";#N/A,#N/A,FALSE,"CC-1 Accounts Payable";#N/A,#N/A,FALSE,"CC-2 Search for Unrecorded Liab";#N/A,#N/A,FALSE,"EE-1 Othr Acts. Pbl &amp; Accr. Exp";#N/A,#N/A,FALSE,"FF-1 Payroll Taxes";#N/A,#N/A,FALSE,"HH-1 Employee Benefit Plans";#N/A,#N/A,FALSE,"JJ-1 Reg. Tax";#N/A,#N/A,FALSE,"JJ-2 Tax Jnl. Entry";#N/A,#N/A,FALSE,"JJ-3 Alt Min. Tax";#N/A,#N/A,FALSE,"JJ-4 Tax Checklist";#N/A,#N/A,FALSE,"KK-1 Def. Tax";#N/A,#N/A,FALSE,"KK-2 Rate Recon.";#N/A,#N/A,FALSE,"MM-1 Long Term Debt";#N/A,#N/A,FALSE,"NN-1 Capital Leases";#N/A,#N/A,FALSE,"TT-1 Officers' Life Insurance";#N/A,#N/A,FALSE,"WW-1 Stockholders' Equity";#N/A,#N/A,FALSE,"0400-1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Donations";#N/A,#N/A,FALSE,"0600-1 Other Income (Expense)";#N/A,#N/A,FALSE,"0700 Interest Expense";#N/A,#N/A,FALSE,"0700-1 Summary of Interest Earn";#N/A,#N/A,FALSE,"0800-2 Income Tax Provision";#N/A,#N/A,FALSE,"0800-3 Income Tax Provision H&amp;L"}</definedName>
    <definedName name="wrn.ALL._.WORKPAPERS._1" hidden="1">{#N/A,#N/A,FALSE,"Std. Tickmark";#N/A,#N/A,FALSE,"Gen. File Index";#N/A,#N/A,FALSE,"Lead Index";#N/A,#N/A,FALSE,"1.2 - Cashflow";#N/A,#N/A,FALSE,"3.1 - Budget";#N/A,#N/A,FALSE,"9.3 - Analytical Procedures";#N/A,#N/A,FALSE,"AJE - Adj. Jnl. Entries";#N/A,#N/A,FALSE,"RJE - Reclass. Jnl. Entries";#N/A,#N/A,FALSE,"TB - Manual Trial Balance";#N/A,#N/A,FALSE,"A-1 Bank Reconcilation";#N/A,#N/A,FALSE,"A-2 Outstanding Checks";#N/A,#N/A,FALSE,"A-3 Savings Accounts";#N/A,#N/A,FALSE,"A-4 Certificates of Deposit";#N/A,#N/A,FALSE,"A-5 Bank Transfer Schedule";#N/A,#N/A,FALSE,"B-1 Mkt. Sec. - Int.";#N/A,#N/A,FALSE,"B-2 Mkt. Sec. - Val.";#N/A,#N/A,FALSE,"B-3 Mkt. Sec. - Gain (Loss)";#N/A,#N/A,FALSE,"C-1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Statistics";#N/A,#N/A,FALSE,"F-1 Inventory Price Test-RM";#N/A,#N/A,FALSE,"F-2 Inventory-Test Count";#N/A,#N/A,FALSE,"G-1 Prepaid Expenses-Other";#N/A,#N/A,FALSE,"G-2 Prepaid Property Taxes";#N/A,#N/A,FALSE,"G-3 Prepaid Insurance ";#N/A,#N/A,FALSE,"H-1 Notes Receivable";#N/A,#N/A,FALSE,"M-1 Property and Equipment";#N/A,#N/A,FALSE,"M-2 Asset Additions";#N/A,#N/A,FALSE,"M-3 Property Disposals";#N/A,#N/A,FALSE,"T-1 Intangibles";#N/A,#N/A,FALSE,"CC-1 Accounts Payable";#N/A,#N/A,FALSE,"CC-2 Search for Unrecorded Liab";#N/A,#N/A,FALSE,"EE-1 Othr Acts. Pbl &amp; Accr. Exp";#N/A,#N/A,FALSE,"FF-1 Payroll Taxes";#N/A,#N/A,FALSE,"HH-1 Employee Benefit Plans";#N/A,#N/A,FALSE,"JJ-1 Reg. Tax";#N/A,#N/A,FALSE,"JJ-2 Tax Jnl. Entry";#N/A,#N/A,FALSE,"JJ-3 Alt Min. Tax";#N/A,#N/A,FALSE,"JJ-4 Tax Checklist";#N/A,#N/A,FALSE,"KK-1 Def. Tax";#N/A,#N/A,FALSE,"KK-2 Rate Recon.";#N/A,#N/A,FALSE,"MM-1 Long Term Debt";#N/A,#N/A,FALSE,"NN-1 Capital Leases";#N/A,#N/A,FALSE,"TT-1 Officers' Life Insurance";#N/A,#N/A,FALSE,"WW-1 Stockholders' Equity";#N/A,#N/A,FALSE,"0400-1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Donations";#N/A,#N/A,FALSE,"0600-1 Other Income (Expense)";#N/A,#N/A,FALSE,"0700 Interest Expense";#N/A,#N/A,FALSE,"0700-1 Summary of Interest Earn";#N/A,#N/A,FALSE,"0800-2 Income Tax Provision";#N/A,#N/A,FALSE,"0800-3 Income Tax Provision H&amp;L"}</definedName>
    <definedName name="wrn.all.2" hidden="1">{#N/A,#N/A,FALSE,"SCHEDULE A";"MINIMUM RENT",#N/A,FALSE,"SCHEDULES B &amp; C";"PERCENTAGE RENT",#N/A,FALSE,"SCHEDULES B &amp; C";#N/A,#N/A,FALSE,"SCHEDULE D";"SUMMARY SCHEDULE",#N/A,FALSE,"SCHEDULE E";#N/A,#N/A,FALSE,"SCHEDULE F";#N/A,#N/A,FALSE,"SCHEDULE G";"SUMMARY SCHEDULE",#N/A,FALSE,"SCHEDULE H";"SUMMARY SCHEDULE",#N/A,FALSE,"SCHEDULE I";#N/A,#N/A,FALSE,"SCHEDULE J";#N/A,#N/A,FALSE,"SCHEDULE 2";#N/A,#N/A,FALSE,"SCHEDULE 3";#N/A,#N/A,FALSE,"MARKETING I";#N/A,#N/A,FALSE,"MARKETING II";#N/A,#N/A,FALSE,"MARKETING III"}</definedName>
    <definedName name="wrn.all.irr" hidden="1">{#N/A,#N/A,TRUE,"3-Gateway";#N/A,#N/A,TRUE,"4-ByrkitAve.Bus.Ctr.";#N/A,#N/A,TRUE,"5- 851 Marietta Assoc.";#N/A,#N/A,TRUE,"6-Fesslers";#N/A,#N/A,TRUE,"7- 3300 Sample";#N/A,#N/A,TRUE,"8-Blackthorn-Wells";#N/A,#N/A,TRUE,"9-BlackthornNimtz";#N/A,#N/A,TRUE,"10-Willow Trace II";#N/A,#N/A,TRUE,"11-Homeland";#N/A,#N/A,TRUE,"12-Dugdale";#N/A,#N/A,TRUE,"13-Park Center";#N/A,#N/A,TRUE,"14-Michiana";#N/A,#N/A,TRUE,"15-LTV (Niles)";#N/A,#N/A,TRUE,"16-Niles-Colfax";#N/A,#N/A,TRUE,"17-Colfax Place";#N/A,#N/A,TRUE,"18-Pru Office"}</definedName>
    <definedName name="wrn.all.sched" hidden="1">{#N/A,#N/A,FALSE,"CF Consolidated 2";#N/A,#N/A,FALSE,"Retail Assump";#N/A,#N/A,FALSE,"CF Retail";#N/A,#N/A,FALSE,"Garage Assumpt 1";#N/A,#N/A,FALSE,"Garage Op Proj";#N/A,#N/A,FALSE,"Hist I&amp;E";#N/A,#N/A,FALSE,"Rent Roll";#N/A,#N/A,FALSE,"RE Taxes";#N/A,#N/A,FALSE,"CAM - BH";#N/A,#N/A,FALSE,"Comm.Condo CAM"}</definedName>
    <definedName name="wrn.ALL1" hidden="1">{#N/A,#N/A,TRUE,"3-Gateway";#N/A,#N/A,TRUE,"4-ByrkitAve.Bus.Ctr.";#N/A,#N/A,TRUE,"5- 851 Marietta Assoc.";#N/A,#N/A,TRUE,"6-Fesslers";#N/A,#N/A,TRUE,"7- 3300 Sample";#N/A,#N/A,TRUE,"8-Blackthorn-Wells";#N/A,#N/A,TRUE,"9-BlackthornNimtz";#N/A,#N/A,TRUE,"10-Willow Trace II";#N/A,#N/A,TRUE,"11-Homeland";#N/A,#N/A,TRUE,"12-Dugdale";#N/A,#N/A,TRUE,"13-Park Center";#N/A,#N/A,TRUE,"14-Michiana";#N/A,#N/A,TRUE,"15-LTV (Niles)";#N/A,#N/A,TRUE,"16-Niles-Colfax";#N/A,#N/A,TRUE,"17-Colfax Place";#N/A,#N/A,TRUE,"18-Pru Office"}</definedName>
    <definedName name="wrn.Annual._.Report." hidden="1">{"annual",#N/A,FALSE,"Pro Forma";#N/A,#N/A,FALSE,"Golf Operations"}</definedName>
    <definedName name="wrn.Annual._.Summary." hidden="1">{"Annual Cash Flows",#N/A,FALSE,"Annual Summary"}</definedName>
    <definedName name="wrn.AnnualRentRoll" hidden="1">{"AnnualRentRoll",#N/A,FALSE,"RentRoll"}</definedName>
    <definedName name="wrn.AnnualRentRoll." hidden="1">{"AnnualRentRoll",#N/A,FALSE,"RentRoll"}</definedName>
    <definedName name="wrn.annualrentroll2" hidden="1">{"AnnualRentRoll",#N/A,FALSE,"RentRoll"}</definedName>
    <definedName name="wrn.Appraisal." hidden="1">{#N/A,#N/A,FALSE,"APPRAISAL";#N/A,#N/A,FALSE,"APPRAISAL 2";#N/A,#N/A,FALSE,"APPRAISAL 3"}</definedName>
    <definedName name="wrn.Appraisal._.2." hidden="1">{#N/A,#N/A,FALSE,"Appraisal 2"}</definedName>
    <definedName name="wrn.Appraisal._.2._1" hidden="1">{#N/A,#N/A,FALSE,"Appraisal 2"}</definedName>
    <definedName name="wrn.Appraisal._.3." hidden="1">{#N/A,#N/A,FALSE,"Appraisal 3"}</definedName>
    <definedName name="wrn.Appraisal._.3._1" hidden="1">{#N/A,#N/A,FALSE,"Appraisal 3"}</definedName>
    <definedName name="wrn.Appraisal._1" hidden="1">{#N/A,#N/A,FALSE,"APPRAISAL";#N/A,#N/A,FALSE,"APPRAISAL 2";#N/A,#N/A,FALSE,"APPRAISAL 3"}</definedName>
    <definedName name="wrn.Arcform1." hidden="1">{"One",#N/A,FALSE,"Property";"Rent Analysis",#N/A,FALSE,"Rent &amp; Income";"Market",#N/A,FALSE,"Market";"Environmental",#N/A,FALSE,"Environmental"}</definedName>
    <definedName name="wrn.Arcform2." hidden="1">{"Development Team",#N/A,FALSE,"Team";"Environmental",#N/A,FALSE,"Environmental";"Permanent",#N/A,FALSE,"Perm Mtg";"Soft",#N/A,FALSE,"Soft Mtg"}</definedName>
    <definedName name="wrn.Arcform3." hidden="1">{"Grant",#N/A,FALSE,"Grant";"GP Developer",#N/A,FALSE,"GP &amp; Dev Loans";"Operating Analysis",#N/A,FALSE,"Operations";"Tax Credit",#N/A,FALSE,"Tax Credits";"Tax Credit Analysis",#N/A,FALSE,"TC Analysis"}</definedName>
    <definedName name="wrn.Arcform4." hidden="1">{"Construction Analysis",#N/A,FALSE,"Constr Analysis";"Construction Financing",#N/A,FALSE,"Constr Finan";"Guarantees and Reserves",#N/A,FALSE,"Guar &amp; Reserves"}</definedName>
    <definedName name="wrn.Arena._.PCD." localSheetId="2" hidden="1">{#N/A,#N/A,TRUE,"Maritime Park Arena PCD";#N/A,#N/A,TRUE,"Maritime Park Arena IOR"}</definedName>
    <definedName name="wrn.Arena._.PCD." hidden="1">{#N/A,#N/A,TRUE,"Maritime Park Arena PCD";#N/A,#N/A,TRUE,"Maritime Park Arena IOR"}</definedName>
    <definedName name="wrn.Asset._.Management." hidden="1">{#N/A,#N/A,FALSE,"ASSET MGMT."}</definedName>
    <definedName name="wrn.ASSETALLOC." hidden="1">{"ASSTALOC",#N/A,FALSE,"BILLING"}</definedName>
    <definedName name="wrn.Assumptions." hidden="1">{"Assumptions",#N/A,FALSE,"Model"}</definedName>
    <definedName name="wrn.Auto._.Comp." hidden="1">{#N/A,#N/A,FALSE,"Sheet1"}</definedName>
    <definedName name="wrn.AVEX._.NCL._.Tower." hidden="1">{#N/A,#N/A,FALSE,"North Central Life";#N/A,#N/A,FALSE,"Town Square";#N/A,#N/A,FALSE,"Summary"}</definedName>
    <definedName name="wrn.B.._.Investor._.Pack." hidden="1">{#N/A,#N/A,FALSE,"Equity--One Class";#N/A,#N/A,FALSE,"Fin";#N/A,#N/A,FALSE,"Fees CF"}</definedName>
    <definedName name="wrn.B._.Spread._.Worksheet._.Summary." localSheetId="2" hidden="1">{#N/A,#N/A,FALSE,"B_Spread"}</definedName>
    <definedName name="wrn.B._.Spread._.Worksheet._.Summary." hidden="1">{#N/A,#N/A,FALSE,"B_Spread"}</definedName>
    <definedName name="wrn.B._.Spread._.Worksheets._.Detail." localSheetId="2" hidden="1">{#N/A,#N/A,FALSE,"B_Spread"}</definedName>
    <definedName name="wrn.B._.Spread._.Worksheets._.Detail." hidden="1">{#N/A,#N/A,FALSE,"B_Spread"}</definedName>
    <definedName name="wrn.Base._.Case._.Print." localSheetId="2" hidden="1">{#N/A,#N/A,FALSE,"Assumptions";#N/A,#N/A,FALSE,"Ground Rent";#N/A,#N/A,FALSE,"SQFT SUMMARY";#N/A,#N/A,FALSE,"PROJECT COSTS";#N/A,#N/A,FALSE,"Financing";#N/A,#N/A,FALSE,"RE Tax Analysis";#N/A,#N/A,FALSE,"Oper Pro Forma";#N/A,#N/A,FALSE,"Sale and IRR";#N/A,#N/A,FALSE,"Int BackUP"}</definedName>
    <definedName name="wrn.Base._.Case._.Print." hidden="1">{#N/A,#N/A,FALSE,"Assumptions";#N/A,#N/A,FALSE,"Ground Rent";#N/A,#N/A,FALSE,"SQFT SUMMARY";#N/A,#N/A,FALSE,"PROJECT COSTS";#N/A,#N/A,FALSE,"Financing";#N/A,#N/A,FALSE,"RE Tax Analysis";#N/A,#N/A,FALSE,"Oper Pro Forma";#N/A,#N/A,FALSE,"Sale and IRR";#N/A,#N/A,FALSE,"Int BackUP"}</definedName>
    <definedName name="wrn.BaseYearDemand." hidden="1">{"Base Year Demand",#N/A,FALSE,"Demand-Base Year"}</definedName>
    <definedName name="wrn.BATON._.ROUGE._.1996._.CAP._.EX." hidden="1">{#N/A,#N/A,FALSE,"BATCAPX";#N/A,#N/A,FALSE,"GR&amp;CORR TOTALS";#N/A,#N/A,FALSE,"LUX  KING FF&amp;E";#N/A,#N/A,FALSE,"LUX KING GC";#N/A,#N/A,FALSE,"TYP DBL FF&amp;E ";#N/A,#N/A,FALSE,"TYP DBL GC ";#N/A,#N/A,FALSE,"PETITE W-SOFA FF&amp;E";#N/A,#N/A,FALSE,"PETITE W-SOFA GC";#N/A,#N/A,FALSE,"TYP KING FF&amp;E";#N/A,#N/A,FALSE,"TYP KING GC";#N/A,#N/A,FALSE,"EXEC KING FF&amp;E";#N/A,#N/A,FALSE,"EXEC KING GC";#N/A,#N/A,FALSE,"TOWNHS PARLOR FF&amp;E";#N/A,#N/A,FALSE,"TOWNHS PARLOR GC";#N/A,#N/A,FALSE,"LUX K PAR FF&amp;E ";#N/A,#N/A,FALSE,"LUX K PAR GC ";#N/A,#N/A,FALSE,"PRES SUITE FF&amp;E";#N/A,#N/A,FALSE,"PRES SUITE GC";#N/A,#N/A,FALSE,"CONC LOUNGE FF&amp;E";#N/A,#N/A,FALSE,"CONC LOUNGE GC";#N/A,#N/A,FALSE,"ADA GR  FF&amp;E ";#N/A,#N/A,FALSE,"ADA GR GC ";#N/A,#N/A,FALSE,"GUEST COR FF&amp;E ";#N/A,#N/A,FALSE,"GUEST  CORR GC";#N/A,#N/A,FALSE,"2ND FLR BANQ FF&amp;E L";#N/A,#N/A,FALSE,"2ND FLR BANQ GC L";#N/A,#N/A,FALSE,"2ND FLR BANQ FF&amp;E S";#N/A,#N/A,FALSE,"2ND FLR BANQ GC S"}</definedName>
    <definedName name="wrn.BCN._.REVISED." hidden="1">{#N/A,#N/A,FALSE,"Income Statement - Phase II";#N/A,#N/A,FALSE,"Balance Sheet Phase II";#N/A,#N/A,FALSE,"Transaction Costs";#N/A,#N/A,FALSE,"Debt &amp; Equity Detail";#N/A,#N/A,FALSE,"G&amp;A Reduction - 25%";#N/A,#N/A,FALSE,"G&amp;A Reduction - 50%";#N/A,#N/A,FALSE,"G&amp;A Reduction - 75%";#N/A,#N/A,FALSE,"GandA Reduction Detail"}</definedName>
    <definedName name="wrn.BCNPROJ." hidden="1">{#N/A,#N/A,FALSE,"Income Statement";#N/A,#N/A,FALSE,"Balance Sheet";#N/A,#N/A,FALSE,"Sheet5";#N/A,#N/A,FALSE,"Debt &amp; Equity Detail"}</definedName>
    <definedName name="wrn.BIGGER." hidden="1">{"PROFORMA",#N/A,FALSE,"A";"BIGGER 1",#N/A,FALSE,"B";"BIGGER 2",#N/A,FALSE,"B";"BIGGER 3",#N/A,FALSE,"B";"SMALL CF 1",#N/A,FALSE,"C"}</definedName>
    <definedName name="wrn.BILLING." hidden="1">{"ACHIEV",#N/A,FALSE,"BILLING";"ADVIS",#N/A,FALSE,"BILLING";"AIG",#N/A,FALSE,"BILLING";"BISHOP",#N/A,FALSE,"BILLING";"CROWN",#N/A,FALSE,"BILLING";"FRSTAM",#N/A,FALSE,"BILLING";"GOLD",#N/A,FALSE,"BILLING";"INVENT",#N/A,FALSE,"BILLING";"LASALLE",#N/A,FALSE,"BILLING";"MORGAN",#N/A,FALSE,"BILLING";"OVB",#N/A,FALSE,"BILLING";"PBHG",#N/A,FALSE,"BILLING";"PROV",#N/A,FALSE,"BILLING";"REMOTE",#N/A,FALSE,"BILLING"}</definedName>
    <definedName name="wrn.Bind." hidden="1">{"BinderView",#N/A,FALSE,"SUMMARY";"Binder",#N/A,FALSE,"AMORTIZATION";"Binder",#N/A,FALSE,"STRLINE"}</definedName>
    <definedName name="wrn.Binder." hidden="1">{"Binder",#N/A,FALSE,"VARIANCES";"Binder",#N/A,FALSE,"DEPR";"Binder",#N/A,FALSE,"BAD DEBTS";"Binder",#N/A,FALSE,"ARrec";"Binder",#N/A,FALSE,"RECOVER";"Binder",#N/A,FALSE,"CAM DEPR";"Binder",#N/A,FALSE,"%RENT";"Binder",#N/A,FALSE,"NEWFASB";"Binder",#N/A,FALSE,"UNOREC CALC";"Binder",#N/A,FALSE,"MIE CALC";"Binder",#N/A,FALSE,"AMORT";"Binder",#N/A,FALSE,"6%LSE TEST";"Binder",#N/A,FALSE,"TI DETAIL";"Binder",#N/A,FALSE,"OTHER ASSETS";"Binder",#N/A,FALSE,"INTERCO";"Binder",#N/A,FALSE,"MGMT FEE";"Binder",#N/A,FALSE,"CIP INTEREST";"Binder",#N/A,FALSE,"CIP";"Binder",#N/A,FALSE,"RE TAXES";"Binder",#N/A,FALSE,"PAYROLL";"Binder",#N/A,FALSE,"OTHER LIAB";"Binder",#N/A,FALSE,"EQUITY"}</definedName>
    <definedName name="wrn.Birdie." hidden="1">{#N/A,#N/A,FALSE,"Trans Summary";#N/A,#N/A,FALSE,"Proforma Five Yr";#N/A,#N/A,FALSE,"Occ and Rate"}</definedName>
    <definedName name="wrn.BlackWhite." hidden="1">{#N/A,#N/A,FALSE,"NNN sum";#N/A,#N/A,FALSE,"10-yr Opt. A Sum";#N/A,#N/A,FALSE,"10-yr Opt A Other Costs";#N/A,#N/A,FALSE,"Purchase Sum";#N/A,#N/A,FALSE,"Purchase Other Costs"}</definedName>
    <definedName name="wrn.BlackWhite5" hidden="1">{#N/A,#N/A,FALSE,"NNN sum";#N/A,#N/A,FALSE,"10-yr Opt. A Sum";#N/A,#N/A,FALSE,"10-yr Opt A Other Costs";#N/A,#N/A,FALSE,"Purchase Sum";#N/A,#N/A,FALSE,"Purchase Other Costs"}</definedName>
    <definedName name="wrn.bleu4." hidden="1">{#N/A,#N/A,FALSE}</definedName>
    <definedName name="wrn.bleu4._1" hidden="1">{#N/A,#N/A,FALSE}</definedName>
    <definedName name="wrn.Blue._.Book._.Sections." hidden="1">{#N/A,#N/A,TRUE,"Summary";#N/A,#N/A,TRUE,"Program Scheme";#N/A,#N/A,TRUE,"Assumptions";#N/A,#N/A,TRUE,"Development Budget &amp; Timing";#N/A,#N/A,TRUE,"Cash Flow";#N/A,#N/A,TRUE,"Cash Flow to Debt &amp; Equity"}</definedName>
    <definedName name="wrn.BOOK." hidden="1">{#N/A,#N/A,FALSE,"COVER";#N/A,#N/A,FALSE,"TABLE OF CONTENTS";#N/A,#N/A,FALSE,"EXEC SUMM";#N/A,#N/A,FALSE,"SURVEY";#N/A,#N/A,FALSE,"PROSPECT";#N/A,#N/A,FALSE,"NEW,EXPANSION,RENEWAL,RELET";#N/A,#N/A,FALSE,"EXPIRED,DEFAULTED";#N/A,#N/A,FALSE,"SIGNED LEASES";#N/A,#N/A,FALSE,"LOST TRANSACTIONS ";#N/A,#N/A,FALSE,"STACKING PLAN";#N/A,#N/A,FALSE,"EXPIRATIONS";#N/A,#N/A,FALSE,"OPTIONS";#N/A,#N/A,FALSE,"SUBLEASE";#N/A,#N/A,FALSE,"AR ANALYSIS";#N/A,#N/A,FALSE,"NER_IN_PLACE";#N/A,#N/A,FALSE,"NER_ACQ_DATE";#N/A,#N/A,FALSE,"titles"}</definedName>
    <definedName name="wrn.Book._.Reports." hidden="1">{"Current Month",#N/A,FALSE,"Current Compar.";"Year-To-Date",#N/A,FALSE,"Year Comparison";"Forecast",#N/A,FALSE,"Comparison NOI";"Actual Input",#N/A,FALSE,"Act...Ratios"}</definedName>
    <definedName name="wrn.Both._.Outputs." hidden="1">{"LTV Output",#N/A,FALSE,"Output";"DCR Output",#N/A,FALSE,"Output"}</definedName>
    <definedName name="wrn.Bridge." hidden="1">{"Table of Contents",#N/A,FALSE,"Table of Contents";"Senario",#N/A,FALSE,"Senarios";"Assumptions",#N/A,FALSE,"Assumptions";"Capital Schedule",#N/A,FALSE,"Capital Schedule";"Cash Schedule",#N/A,FALSE,"ScheduleCash";"SummaryCash",#N/A,FALSE,"SummaryCash";"FinancingCash",#N/A,FALSE,"FinancingCash";"Bridge Schedule",#N/A,FALSE,"ScheduleFinanced";"SummaryFinanced",#N/A,FALSE,"SummaryFinanced";"FinancingFinanced",#N/A,FALSE,"FinancingFinanced";"Ownership Schedule",#N/A,FALSE,"ScheduleOwner";"SummaryOwner",#N/A,FALSE,"SummaryOwner";"FinancingOwner",#N/A,FALSE,"FinancingOwner"}</definedName>
    <definedName name="wrn.Budget." hidden="1">{"Spread Dollars",#N/A,FALSE,"Budget";"Spread Ratios",#N/A,FALSE,"Budget";"Target Comparison",#N/A,FALSE,"Summary"}</definedName>
    <definedName name="wrn.CAPITAL._.LEASES." hidden="1">{#N/A,#N/A,FALSE,"NN-1 Capital Leases"}</definedName>
    <definedName name="wrn.CAPITAL._.LEASES._1" hidden="1">{#N/A,#N/A,FALSE,"NN-1 Capital Leases"}</definedName>
    <definedName name="wrn.CAPREIT." hidden="1">{#N/A,#N/A,FALSE,"CAPREIT"}</definedName>
    <definedName name="wrn.CAPREIT._.II." hidden="1">{#N/A,#N/A,FALSE,"Consolidate II";#N/A,#N/A,FALSE,"Atrium";#N/A,#N/A,FALSE,"DoverFarms";#N/A,#N/A,FALSE,"GreenwayChase";#N/A,#N/A,FALSE,"Island Club 1";#N/A,#N/A,FALSE,"IslesGateway";#N/A,#N/A,FALSE,"MadisonPark";#N/A,#N/A,FALSE,"PacesRun";#N/A,#N/A,FALSE,"Park";#N/A,#N/A,FALSE,"Sunbrook";#N/A,#N/A,FALSE,"TownPlace";#N/A,#N/A,FALSE,"WatPark";#N/A,#N/A,FALSE,"WatPlace";#N/A,#N/A,FALSE,"WatCastleton"}</definedName>
    <definedName name="wrn.CAPREIT._.II._.and._.IV." hidden="1">{#N/A,#N/A,FALSE,"Consolidate II &amp; IV";#N/A,#N/A,FALSE,"Atrium";#N/A,#N/A,FALSE,"Chasewood";#N/A,#N/A,FALSE,"ClubNorthHills";#N/A,#N/A,FALSE,"DoverFarms";#N/A,#N/A,FALSE,"GreenwayChase";#N/A,#N/A,FALSE,"Island Club 1";#N/A,#N/A,FALSE,"IslesGateway";#N/A,#N/A,FALSE,"Kensington";#N/A,#N/A,FALSE,"LakeFront";#N/A,#N/A,FALSE,"MadisonPark";#N/A,#N/A,FALSE,"Oaks";#N/A,#N/A,FALSE,"PacesRun";#N/A,#N/A,FALSE,"Park";#N/A,#N/A,FALSE,"PointeWest";#N/A,#N/A,FALSE,"Sunbrook";#N/A,#N/A,FALSE,"Sundance";#N/A,#N/A,FALSE,"TownPlace";#N/A,#N/A,FALSE,"WatPark";#N/A,#N/A,FALSE,"WatPlace";#N/A,#N/A,FALSE,"WatCastleton";#N/A,#N/A,FALSE,"Wellington"}</definedName>
    <definedName name="wrn.CAPREIT._.IV." hidden="1">{#N/A,#N/A,FALSE,"Consolidate IV";#N/A,#N/A,FALSE,"Chasewood";#N/A,#N/A,FALSE,"ClubNorthHills";#N/A,#N/A,FALSE,"Kensington";#N/A,#N/A,FALSE,"LakeFront";#N/A,#N/A,FALSE,"Oaks";#N/A,#N/A,FALSE,"PointeWest";#N/A,#N/A,FALSE,"Sundance";#N/A,#N/A,FALSE,"Wellington"}</definedName>
    <definedName name="wrn.CAPREIT._.TERA." hidden="1">{#N/A,#N/A,FALSE,"Consolidate TERA";#N/A,#N/A,FALSE,"Boulder";#N/A,#N/A,FALSE,"Braden";#N/A,#N/A,FALSE,"Cambridge";#N/A,#N/A,FALSE,"Charleston";#N/A,#N/A,FALSE,"Cornerstone";#N/A,#N/A,FALSE,"Courtyard";#N/A,#N/A,FALSE,"LakeMayport";#N/A,#N/A,FALSE,"Paces River 1";#N/A,#N/A,FALSE,"Paces River 2";#N/A,#N/A,FALSE,"Paddock ";#N/A,#N/A,FALSE,"Summer";#N/A,#N/A,FALSE,"Sutton"}</definedName>
    <definedName name="wrn.CAPREIT._.V." hidden="1">{#N/A,#N/A,FALSE,"Consolidate V";#N/A,#N/A,FALSE,"Ashley";#N/A,#N/A,FALSE,"Biscayne";#N/A,#N/A,FALSE,"Carnegie";#N/A,#N/A,FALSE,"Culpeper ";#N/A,#N/A,FALSE,"Island Club 2";#N/A,#N/A,FALSE,"MadisonRidge";#N/A,#N/A,FALSE,"Magnolia";#N/A,#N/A,FALSE,"Royal";#N/A,#N/A,FALSE,"Valle"}</definedName>
    <definedName name="wrn.CAPREIT2" hidden="1">{#N/A,#N/A,FALSE,"CAPREIT"}</definedName>
    <definedName name="wrn.Capx." hidden="1">{"Capx/exp",#N/A,FALSE,"CapX"}</definedName>
    <definedName name="wrn.cash" hidden="1">{#N/A,#N/A,FALSE,"Matrix";#N/A,#N/A,FALSE,"Cash Flow";#N/A,#N/A,FALSE,"10 Year Cost Analysis"}</definedName>
    <definedName name="wrn.CASH." hidden="1">{#N/A,#N/A,FALSE,"A-1 Bank Reconcilation";#N/A,#N/A,FALSE,"A-2 Outstanding Checks";#N/A,#N/A,FALSE,"A-3 Savings Accounts";#N/A,#N/A,FALSE,"A-4 Certificates of Deposit";#N/A,#N/A,FALSE,"A-5 Bank Transfer Schedule"}</definedName>
    <definedName name="wrn.Cash._.Flow." hidden="1">{"Input",#N/A,FALSE,"Sheet1";"Output",#N/A,FALSE,"Sheet1"}</definedName>
    <definedName name="wrn.Cash._.Flow._.Anal." localSheetId="2" hidden="1">{"CF",#N/A,FALSE,"Cash Flow";"RET",#N/A,FALSE,"Returns";"NPV",#N/A,FALSE,"Values";"ASMPT",#N/A,FALSE,"Assumptions"}</definedName>
    <definedName name="wrn.Cash._.Flow._.Anal." hidden="1">{"CF",#N/A,FALSE,"Cash Flow";"RET",#N/A,FALSE,"Returns";"NPV",#N/A,FALSE,"Values";"ASMPT",#N/A,FALSE,"Assumptions"}</definedName>
    <definedName name="wrn.Cash._.Flow._.Analysis." localSheetId="2" hidden="1">{"CF",#N/A,FALSE,"Cash Flow";"RET",#N/A,FALSE,"Returns";"NPV",#N/A,FALSE,"Values";"ASMPT",#N/A,FALSE,"Assumptions"}</definedName>
    <definedName name="wrn.Cash._.Flow._.Analysis." hidden="1">{"CF",#N/A,FALSE,"Cash Flow";"RET",#N/A,FALSE,"Returns";"NPV",#N/A,FALSE,"Values";"ASMPT",#N/A,FALSE,"Assumptions"}</definedName>
    <definedName name="wrn.Cash._.Flow._.and._.Matrix." hidden="1">{#N/A,#N/A,FALSE,"Matrix";#N/A,#N/A,FALSE,"Cash Flow";#N/A,#N/A,FALSE,"10 Year Cost Analysis"}</definedName>
    <definedName name="wrn.CASH._.FLOWS._.ONLY." hidden="1">{#N/A,#N/A,FALSE,"Assumptions";#N/A,#N/A,FALSE,"Consol CF";#N/A,#N/A,FALSE,"Hacienda CF";#N/A,#N/A,FALSE,"Chabot CF";#N/A,#N/A,FALSE,"Diablo CF"}</definedName>
    <definedName name="wrn.CASH._1" hidden="1">{#N/A,#N/A,FALSE,"A-1 Bank Reconcilation";#N/A,#N/A,FALSE,"A-2 Outstanding Checks";#N/A,#N/A,FALSE,"A-3 Savings Accounts";#N/A,#N/A,FALSE,"A-4 Certificates of Deposit";#N/A,#N/A,FALSE,"A-5 Bank Transfer Schedule"}</definedName>
    <definedName name="wrn.Cash_Flow." hidden="1">{#N/A,#N/A,FALSE,"Cash Flow"}</definedName>
    <definedName name="wrn.CCC." localSheetId="2" hidden="1">{#N/A,#N/A,FALSE,"A";#N/A,#N/A,FALSE,"B"}</definedName>
    <definedName name="wrn.CCC." hidden="1">{#N/A,#N/A,FALSE,"A";#N/A,#N/A,FALSE,"B"}</definedName>
    <definedName name="wrn.CCC._.OPEX." localSheetId="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CC._.OPEX.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F." hidden="1">{"Capital",#N/A,FALSE,"CF-CONSOLIDATED";"CF",#N/A,FALSE,"CF-CONSOLIDATED";"IRR",#N/A,FALSE,"CF-CONSOLIDATED"}</definedName>
    <definedName name="wrn.CF._.Print." hidden="1">{#N/A,#N/A,FALSE,"Cash Flow";#N/A,#N/A,FALSE,"FFO";#N/A,#N/A,FALSE,"Dvlpt Assumptions";#N/A,#N/A,FALSE,"Equity &amp; Constr Financing";#N/A,#N/A,FALSE,"JV Fee Analysis - cash";#N/A,#N/A,FALSE,"JV Fee Analysis - GAAP";#N/A,#N/A,FALSE,"Prop CF Adj";#N/A,#N/A,FALSE,"Land Sales";#N/A,#N/A,FALSE,"Capex, existing";#N/A,#N/A,FALSE,"Capex,97 Budget";#N/A,#N/A,FALSE,"Capex, dvlpt";#N/A,#N/A,FALSE,"Cap overhead";#N/A,#N/A,FALSE,"Project Equity";#N/A,#N/A,FALSE,"Leasing Fees";#N/A,#N/A,FALSE,"Debt";#N/A,#N/A,FALSE,"Capitalized Interest";#N/A,#N/A,FALSE,"FF&amp; E Loan";#N/A,#N/A,FALSE,"Strip loan";#N/A,#N/A,FALSE,"Franklin Loan";#N/A,#N/A,FALSE,"Poto_Gurn Amortiz";#N/A,#N/A,FALSE,"Dividend Distr";#N/A,#N/A,FALSE,"Investment in Partnerships";#N/A,#N/A,FALSE,"JV Ops Cash Flow Adj.";#N/A,#N/A,FALSE,"Ontario";#N/A,#N/A,FALSE,"Ontario-Proj";#N/A,#N/A,FALSE,"Ont Debt";#N/A,#N/A,FALSE,"Grapevine";#N/A,#N/A,FALSE,"Grapevine-Proj";#N/A,#N/A,FALSE,"Arizona";#N/A,#N/A,FALSE,"Arizona - Proj";#N/A,#N/A,FALSE,"Sawgrass Ph III";#N/A,#N/A,FALSE,"Saw Phase III-Proj";#N/A,#N/A,FALSE,"City Center";#N/A,#N/A,FALSE,"City Center-Proj";#N/A,#N/A,FALSE,"Columbus";#N/A,#N/A,FALSE,"Columbus-Proj";#N/A,#N/A,FALSE,"Atlanta";#N/A,#N/A,FALSE,"Atlanta-Proj";#N/A,#N/A,FALSE,"Monee";#N/A,#N/A,FALSE,"Monee-Proj";#N/A,#N/A,FALSE,"Houston";#N/A,#N/A,FALSE,"Houston-Proj";#N/A,#N/A,FALSE,"San Francisco";#N/A,#N/A,FALSE,"San Francisco-Proj";#N/A,#N/A,FALSE,"Meadowlands";#N/A,#N/A,FALSE,"Meadowlands-Proj";#N/A,#N/A,FALSE,"Toronto";#N/A,#N/A,FALSE,"Toronto-Proj"}</definedName>
    <definedName name="wrn.CHART." hidden="1">{"CHART",#N/A,FALSE,"Arch Communications"}</definedName>
    <definedName name="wrn.CHART2._.detail." hidden="1">{#N/A,#N/A,FALSE,"Chart 2 by Prop Type"}</definedName>
    <definedName name="wrn.check.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ck.2" hidden="1">{#N/A,#N/A,FALSE,"Summary";#N/A,#N/A,FALSE,"Project Summary";#N/A,#N/A,FALSE,"Development Cost Summary";#N/A,#N/A,FALSE,"Development Cost Allocation";#N/A,#N/A,FALSE,"Pad Fees";#N/A,#N/A,FALSE,"Costs";#N/A,#N/A,FALSE,"Parking Budget";#N/A,#N/A,FALSE,"Retail Development Budget";#N/A,#N/A,FALSE,"Office Development Budget";#N/A,#N/A,FALSE,"Hotel Development Budget"}</definedName>
    <definedName name="wrn.chesapeake." hidden="1">{#N/A,#N/A,FALSE,"FEES";#N/A,#N/A,FALSE,"INTEREST CALC (1998-series A)";#N/A,#N/A,FALSE,"invoice";#N/A,#N/A,FALSE,"activity";#N/A,#N/A,FALSE,"INTEREST CALC (1998-series  B)";#N/A,#N/A,FALSE,"INTEREST CALC (1999-series A)";#N/A,#N/A,FALSE,"INTEREST CALC (2000-series A)";#N/A,#N/A,FALSE,"Bond Redemptions"}</definedName>
    <definedName name="wrn.closing._.statement." hidden="1">{"page1",#N/A,FALSE,"CTT_CLO";"page2",#N/A,FALSE,"CTT_CLO"}</definedName>
    <definedName name="wrn.COM." hidden="1">{"COM",#N/A,FALSE,"800 10th"}</definedName>
    <definedName name="wrn.COM2" hidden="1">{"COM",#N/A,FALSE,"800 10th"}</definedName>
    <definedName name="wrn.COMLAWTC." hidden="1">{"Commish",#N/A,FALSE,"LAWTC"}</definedName>
    <definedName name="wrn.COMLAWTC2" hidden="1">{"Commish",#N/A,FALSE,"LAWTC"}</definedName>
    <definedName name="wrn.Competition." hidden="1">{#N/A,#N/A,FALSE,"CompSummary";#N/A,#N/A,FALSE,"Comp1";#N/A,#N/A,FALSE,"Comp2";#N/A,#N/A,FALSE,"Comp3";#N/A,#N/A,FALSE,"Comp4";#N/A,#N/A,FALSE,"Comp5";#N/A,#N/A,FALSE,"Our Prop";#N/A,#N/A,FALSE,"Projection Sheet"}</definedName>
    <definedName name="wrn.Competitive._.Set._.Information." hidden="1">{"Competitive Set Info",#N/A,FALSE,"Competitive Set";"YTD Information",#N/A,FALSE,"Competitive Set YTD"}</definedName>
    <definedName name="wrn.Complete.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.Budget." hidden="1">{#N/A,#N/A,TRUE,"Budget";#N/A,#N/A,TRUE,"Revenue &amp; COGS"}</definedName>
    <definedName name="wrn.Complete._.Budget.1" hidden="1">{#N/A,#N/A,TRUE,"Budget";#N/A,#N/A,TRUE,"Revenue &amp; COGS"}</definedName>
    <definedName name="wrn.Complete._.Package." hidden="1">{"Summary Including DHC",#N/A,TRUE,"SUMMARY";"Financial Assumptions",#N/A,TRUE,"Financial Assumptions";"Sources &amp; Uses",#N/A,TRUE,"Financial Assumptions";"History &amp; Projection",#N/A,TRUE,"History - Proforma"}</definedName>
    <definedName name="wrn.Complete._.Review." hidden="1">{#N/A,#N/A,FALSE,"Occ and Rate";#N/A,#N/A,FALSE,"PF Input";#N/A,#N/A,FALSE,"Capital Input";#N/A,#N/A,FALSE,"Proforma Five Yr";#N/A,#N/A,FALSE,"Calculations";#N/A,#N/A,FALSE,"Transaction Summary-DTW"}</definedName>
    <definedName name="wrn.Complete.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nst_Monthly." hidden="1">{"Const_Monthly",#N/A,FALSE,"Construction"}</definedName>
    <definedName name="wrn.Construction._.Costs." hidden="1">{"Construction Costs",#N/A,FALSE,"Total Costs"}</definedName>
    <definedName name="wrn.Construction_Summary." hidden="1">{#N/A,#N/A,FALSE,"Construction"}</definedName>
    <definedName name="wrn.contribution." hidden="1">{#N/A,#N/A,FALSE,"Contribution Analysis"}</definedName>
    <definedName name="wrn.contribution.1" hidden="1">{#N/A,#N/A,FALSE,"Contribution Analysis"}</definedName>
    <definedName name="wrn.Control._.Sheet." hidden="1">{#N/A,#N/A,FALSE,"CONTROL"}</definedName>
    <definedName name="wrn.Control._.Sheet._1" hidden="1">{#N/A,#N/A,FALSE,"CONTROL"}</definedName>
    <definedName name="wrn.Cost." hidden="1">{"Cost",#N/A,FALSE,"Cost"}</definedName>
    <definedName name="wrn.Cottage._.Summary." hidden="1">{"cot1",#N/A,FALSE,"Cottages";"cot2",#N/A,FALSE,"Cottages";"cot3",#N/A,FALSE,"Cottages"}</definedName>
    <definedName name="wrn.Credit._.Summary." hidden="1">{#N/A,#N/A,FALSE,"CREDIT"}</definedName>
    <definedName name="wrn.Credit._.Summary._1" hidden="1">{#N/A,#N/A,FALSE,"CREDIT"}</definedName>
    <definedName name="wrn.csc." hidden="1">{"orixcsc",#N/A,FALSE,"ORIX CSC";"orixcsc2",#N/A,FALSE,"ORIX CSC"}</definedName>
    <definedName name="wrn.csc.1" hidden="1">{"orixcsc",#N/A,FALSE,"ORIX CSC";"orixcsc2",#N/A,FALSE,"ORIX CSC"}</definedName>
    <definedName name="wrn.csc.3" hidden="1">{#N/A,#N/A,FALSE,"ORIX CSC"}</definedName>
    <definedName name="wrn.csc2." hidden="1">{#N/A,#N/A,FALSE,"ORIX CSC"}</definedName>
    <definedName name="wrn.cssa." hidden="1">{#N/A,#N/A,FALSE,"WATCHDSC";#N/A,#N/A,FALSE,"2LOSSMOD";#N/A,#N/A,FALSE,"2LOSS";#N/A,#N/A,FALSE,"DSC";#N/A,#N/A,FALSE,"OPERAT";#N/A,#N/A,FALSE,"ADJUST";#N/A,#N/A,FALSE,"LEASE EXPIRE"}</definedName>
    <definedName name="wrn.daily." hidden="1">{#N/A,#N/A,FALSE,"Major v. River";#N/A,#N/A,FALSE,"Large Operators";#N/A,#N/A,FALSE,"Smaller Operators";#N/A,#N/A,FALSE,"Equip. Supply";#N/A,#N/A,FALSE,"EBITDA"}</definedName>
    <definedName name="wrn.data." hidden="1">{"data",#N/A,FALSE,"INPUT"}</definedName>
    <definedName name="wrn.data1" hidden="1">{"data",#N/A,FALSE,"INPUT"}</definedName>
    <definedName name="wrn.data5" hidden="1">{"data",#N/A,FALSE,"INPUT"}</definedName>
    <definedName name="wrn.DATABASE." hidden="1">{"DBINPUT1",#N/A,FALSE,"Database";"DBINPUT2",#N/A,FALSE,"Database"}</definedName>
    <definedName name="wrn.Days._.in._.AR." hidden="1">{"Normal",#N/A,TRUE,"Days";"Sold",#N/A,TRUE,"Days"}</definedName>
    <definedName name="wrn.DCF." hidden="1">{#N/A,#N/A,FALSE,"DCF-COM";#N/A,#N/A,FALSE,"VAC-COM"}</definedName>
    <definedName name="wrn.DCR._.Output." hidden="1">{"DCR Output",#N/A,FALSE,"Output"}</definedName>
    <definedName name="wrn.Demand._.Calcs." hidden="1">{#N/A,#N/A,FALSE,"Demand Calcs"}</definedName>
    <definedName name="wrn.Demand._.Inputs." hidden="1">{#N/A,#N/A,FALSE,"Demand Inputs"}</definedName>
    <definedName name="wrn.DETAIL._.SCHEDULES." hidden="1">{"ACCOUNT DETAIL",#N/A,FALSE,"SCHEDULE E";"ACCOUNT DETAIL",#N/A,FALSE,"SCHEDULE G";"ACCOUNT DETAIL",#N/A,FALSE,"SCHEDULE H";"ACCOUNT DETAIL",#N/A,FALSE,"SCHEDULE I"}</definedName>
    <definedName name="wrn.Detailed." hidden="1">{"Detailed",#N/A,FALSE,"Schedule4"}</definedName>
    <definedName name="wrn.Detailed._.Partnership._.Returns._.Leveraged." hidden="1">{"Return Analysis - Leveraged",#N/A,FALSE,"Return Analysis - Leveraged"}</definedName>
    <definedName name="wrn.devdeal." hidden="1">{"top",#N/A,TRUE,"Detail";"next",#N/A,TRUE,"Detail";"then",#N/A,TRUE,"Detail";"and",#N/A,TRUE,"Detail";"inaddition",#N/A,TRUE,"Detail";"finally",#N/A,TRUE,"Detail"}</definedName>
    <definedName name="wrn.Distribution._.Economics." hidden="1">{#N/A,#N/A,FALSE,"Draw";#N/A,#N/A,FALSE,"PROFORMA";#N/A,#N/A,FALSE,"Assumptions";#N/A,#N/A,FALSE,"Costs"}</definedName>
    <definedName name="wrn.Downside." hidden="1">{"Downside",#N/A,FALSE,"Downside"}</definedName>
    <definedName name="wrn.dtl.schedules" hidden="1">{"ACCOUNT DETAIL",#N/A,FALSE,"SCHEDULE E";"ACCOUNT DETAIL",#N/A,FALSE,"SCHEDULE G";"ACCOUNT DETAIL",#N/A,FALSE,"SCHEDULE H";"ACCOUNT DETAIL",#N/A,FALSE,"SCHEDULE I"}</definedName>
    <definedName name="wrn.Engineering." hidden="1">{#N/A,#N/A,FALSE,"ENGINEERING"}</definedName>
    <definedName name="wrn.Engineering._1" hidden="1">{#N/A,#N/A,FALSE,"ENGINEERING"}</definedName>
    <definedName name="wrn.Englese._.Report._.1st._.half." hidden="1">{"CoverSheet",#N/A,FALSE,"Cover Sheet";"AreaSum",#N/A,FALSE,"Master Area Summary";"Exclusions",#N/A,FALSE,"Exclusions";"EngEXsum",#N/A,FALSE,"Executive Summary";"Eng A sum",#N/A,FALSE,"Bldg A Summary";"EngAest",#N/A,FALSE,"BLDG.A";"EngCsum",#N/A,FALSE,"Bldg C Summary";"EngCest",#N/A,FALSE,"BLDG.C";"EngSTsum",#N/A,FALSE,"Site Summary";"Engsite",#N/A,FALSE,"Site work"}</definedName>
    <definedName name="wrn.Englese._.Report._.2nd._.half." hidden="1">{"EngSWsum",#N/A,FALSE,"Sewer Summary";"EngSWest",#N/A,FALSE,"Sewer Estimate";"Eng GRsum",#N/A,FALSE,"Garage Summary";"EngGRest",#N/A,FALSE,"Garage Estimate";"EngPLsum",#N/A,FALSE,"Pool Summary";"EngPLest",#N/A,FALSE,"Pool";"EngPHsum",#N/A,FALSE,"Pool House Summary";"EngPHest",#N/A,FALSE,"Pool House Estimate";"EngMAsum",#N/A,FALSE,"Marina Summary";"EngMAest",#N/A,FALSE,"Marina Estimate"}</definedName>
    <definedName name="wrn.Entire._.Package." hidden="1">{#N/A,#N/A,FALSE,"Smry1";#N/A,#N/A,FALSE,"Smry2";#N/A,#N/A,FALSE,"Finance Cash Flow";#N/A,#N/A,FALSE,"ProForma_Input";#N/A,#N/A,FALSE,"prop_input";#N/A,#N/A,FALSE,"regional_input";#N/A,#N/A,FALSE,"LT Cost of Capital_Input";#N/A,#N/A,FALSE,"Debt_Input";#N/A,#N/A,FALSE,"Yr 6 Rent";#N/A,#N/A,FALSE,"Accr_Dil Cmpd"}</definedName>
    <definedName name="wrn.Entry._.Grids." hidden="1">{#N/A,#N/A,FALSE,"Services JE Grid";#N/A,#N/A,FALSE,"Emmes JE Grid";#N/A,#N/A,FALSE,"Capital JE Grid "}</definedName>
    <definedName name="wrn.Environmental." hidden="1">{#N/A,#N/A,FALSE,"ENVIRONMENTAL"}</definedName>
    <definedName name="wrn.Environmental._1" hidden="1">{#N/A,#N/A,FALSE,"ENVIRONMENTAL"}</definedName>
    <definedName name="wrn.equity." localSheetId="2" hidden="1">{#N/A,#N/A,FALSE,"Cover";#N/A,#N/A,FALSE,"Equity Sum";#N/A,#N/A,FALSE,"Constr Phase";#N/A,#N/A,FALSE,"Graph";#N/A,#N/A,FALSE,"Proforma";#N/A,#N/A,FALSE,"SQFT";#N/A,#N/A,FALSE,"TDC";#N/A,#N/A,FALSE,"Loan";#N/A,#N/A,FALSE,"Start Costs";#N/A,#N/A,FALSE,"Oper Exp";#N/A,#N/A,FALSE,"Grid"}</definedName>
    <definedName name="wrn.equity." hidden="1">{#N/A,#N/A,FALSE,"Cover";#N/A,#N/A,FALSE,"Equity Sum";#N/A,#N/A,FALSE,"Constr Phase";#N/A,#N/A,FALSE,"Graph";#N/A,#N/A,FALSE,"Proforma";#N/A,#N/A,FALSE,"SQFT";#N/A,#N/A,FALSE,"TDC";#N/A,#N/A,FALSE,"Loan";#N/A,#N/A,FALSE,"Start Costs";#N/A,#N/A,FALSE,"Oper Exp";#N/A,#N/A,FALSE,"Grid"}</definedName>
    <definedName name="wrn.Everything.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xcavation." localSheetId="2" hidden="1">{"excavation",#N/A,FALSE,"DETAIL.XLS"}</definedName>
    <definedName name="wrn.Excavation." hidden="1">{"excavation",#N/A,FALSE,"DETAIL.XLS"}</definedName>
    <definedName name="wrn.Exec._.Summary." hidden="1">{#N/A,#N/A,FALSE,"Index"}</definedName>
    <definedName name="wrn.Exec._.Summary._1" hidden="1">{#N/A,#N/A,FALSE,"Index"}</definedName>
    <definedName name="wrn.Executive._.Summary._.Reports." hidden="1">{"Estimated Proforma (Prelim. Proforma)",#N/A,TRUE,"Prelim. Proforma";"Summary Cash Flow Grid",#N/A,TRUE,"Cash Flow Grid";"Final Proforma (Final Proforma)",#N/A,TRUE,"Final Proforma";"Cash Flow Graph (Cash Flow Graphic)",#N/A,TRUE,"Cash Flow Graphic"}</definedName>
    <definedName name="wrn.ExitAndSalesAssumptions." hidden="1">{#N/A,#N/A,FALSE,"ExitStratigy"}</definedName>
    <definedName name="wrn.EXPENSE." localSheetId="2" hidden="1">{#N/A,#N/A,FALSE,"Common Area Accrual";#N/A,#N/A,FALSE,"Unit One LaSalle";#N/A,#N/A,FALSE,"Unit One CW";#N/A,#N/A,FALSE,"Unit One LaSallle + C &amp; W";#N/A,#N/A,FALSE,"Consolidated Accrual"}</definedName>
    <definedName name="wrn.EXPENSE." hidden="1">{#N/A,#N/A,FALSE,"Common Area Accrual";#N/A,#N/A,FALSE,"Unit One LaSalle";#N/A,#N/A,FALSE,"Unit One CW";#N/A,#N/A,FALSE,"Unit One LaSallle + C &amp; W";#N/A,#N/A,FALSE,"Consolidated Accrual"}</definedName>
    <definedName name="wrn.Expense._.Detail." localSheetId="2" hidden="1">{#N/A,#N/A,FALSE,"Common Area Accrual";#N/A,#N/A,FALSE,"Unit One LaSalle";#N/A,#N/A,FALSE,"Unit One CW";#N/A,#N/A,FALSE,"Unit One LaSalle + C &amp; W";#N/A,#N/A,FALSE,"Consolidated Accrual"}</definedName>
    <definedName name="wrn.Expense._.Detail." hidden="1">{#N/A,#N/A,FALSE,"Common Area Accrual";#N/A,#N/A,FALSE,"Unit One LaSalle";#N/A,#N/A,FALSE,"Unit One CW";#N/A,#N/A,FALSE,"Unit One LaSalle + C &amp; W";#N/A,#N/A,FALSE,"Consolidated Accrual"}</definedName>
    <definedName name="wrn.EXPENSES." hidden="1">{#N/A,#N/A,FALSE,"0400-1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Donations"}</definedName>
    <definedName name="wrn.EXPENSES._1" hidden="1">{#N/A,#N/A,FALSE,"0400-1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Donations"}</definedName>
    <definedName name="wrn.Exterior._.Wall." localSheetId="2" hidden="1">{#N/A,#N/A,FALSE,"Paramters";"print range",#N/A,FALSE,"GSF.XLS";"exterior wall",#N/A,FALSE,"DETAIL.XLS"}</definedName>
    <definedName name="wrn.Exterior._.Wall." hidden="1">{#N/A,#N/A,FALSE,"Paramters";"print range",#N/A,FALSE,"GSF.XLS";"exterior wall",#N/A,FALSE,"DETAIL.XLS"}</definedName>
    <definedName name="wrn.Fair._.Share._.Calcs." hidden="1">{#N/A,#N/A,FALSE,"Fair Share"}</definedName>
    <definedName name="wrn.FCB." hidden="1">{"FCB_ALL",#N/A,FALSE,"FCB"}</definedName>
    <definedName name="wrn.fcb._dcf" hidden="1">{"FCB_ALL",#N/A,FALSE,"FCB"}</definedName>
    <definedName name="wrn.fcb2" hidden="1">{"FCB_ALL",#N/A,FALSE,"FCB"}</definedName>
    <definedName name="wrn.fcb2_dcf" hidden="1">{"FCB_ALL",#N/A,FALSE,"FCB"}</definedName>
    <definedName name="wrn.FCG." hidden="1">{#N/A,#N/A,TRUE,"Title Page";#N/A,#N/A,TRUE,"Executive Summary";#N/A,#N/A,TRUE,"Cash Flow";#N/A,#N/A,TRUE,"Exp Detail";#N/A,#N/A,TRUE,"Pricing Matrix";#N/A,#N/A,TRUE,"Value Matrix";#N/A,#N/A,TRUE,"Assumptions";#N/A,#N/A,TRUE,"Vacant Space";#N/A,#N/A,TRUE,"2nd Generation";#N/A,#N/A,TRUE,"Existing vs Mkt";#N/A,#N/A,TRUE,"Expiration Schedule";#N/A,#N/A,TRUE,"Expiration Graph ";#N/A,#N/A,TRUE,"Residual - Marketing";#N/A,#N/A,TRUE,"Vacancy Detail"}</definedName>
    <definedName name="wrn.FCI1CF." hidden="1">{#N/A,#N/A,FALSE,"NO.1"}</definedName>
    <definedName name="wrn.Feb98." hidden="1">{"sheet a",#N/A,FALSE,"A";"2 9 casflow",#N/A,FALSE,"B"}</definedName>
    <definedName name="wrn.Final._.Output." hidden="1">{#N/A,#N/A,FALSE,"Final Output"}</definedName>
    <definedName name="wrn.Finance." hidden="1">{#N/A,#N/A,TRUE,"97 FINANCING";#N/A,#N/A,TRUE,"97 Indirect &amp; Operating Costs";#N/A,#N/A,TRUE,"97 Master Dev. Cost Wksht"}</definedName>
    <definedName name="wrn.Financial._.Model." hidden="1">{#N/A,#N/A,TRUE,"Input Sheet Model";#N/A,#N/A,TRUE,"Project Proforma Detail";#N/A,#N/A,TRUE,"Signoff Summary";#N/A,#N/A,TRUE,"Assumptions";#N/A,#N/A,TRUE,"Constr. Int. Inc.";#N/A,#N/A,TRUE,"Cashflow Projection"}</definedName>
    <definedName name="wrn.Financial._.Reports." hidden="1">{#N/A,#N/A,FALSE,"Overview";#N/A,#N/A,FALSE,"santafe";#N/A,#N/A,FALSE,"noble";#N/A,#N/A,FALSE,"Combined Results";#N/A,#N/A,FALSE,"Earnings"}</definedName>
    <definedName name="wrn.Financials." hidden="1">{#N/A,#N/A,FALSE,"Income Stmt";#N/A,#N/A,FALSE,"Income Summary"}</definedName>
    <definedName name="wrn.Finsumm." hidden="1">{"Finsumm",#N/A,FALSE,"Summary Analysis"}</definedName>
    <definedName name="wrn.Fleet." hidden="1">{"FleetDetailsNE",#N/A,FALSE,"NEForecast"}</definedName>
    <definedName name="wrn.FORECAST._.ONLY." hidden="1">{"SourceUse",#N/A,FALSE,"S &amp; U";"Pricing","Normal",FALSE,"Pricing";"Fund Flow",#N/A,FALSE,"Fund Flow";"Rent","Normal",FALSE,"Rent,Exp";"Operating Exp",#N/A,FALSE,"Oper Exp";"Net Operating Income",#N/A,FALSE,"NOI";"Cashflow",#N/A,FALSE,"C Flow";"Net Income",#N/A,FALSE,"Net Incm";"Benefit Schedule",#N/A,FALSE,"Benefits";"Min Gain",#N/A,FALSE,"Min Gain";"Devt Fee",#N/A,FALSE,"Devt Fee";"Mort 1",#N/A,FALSE,"Mort 1";"RP Depr",#N/A,FALSE,"RP Depr";"PP Amort",#N/A,FALSE,"PP Amort";"RR Depr",#N/A,FALSE,"RR Depr";"Debt Analysis",#N/A,FALSE,"Debt Anal"}</definedName>
    <definedName name="wrn.FORMULAS." hidden="1">{"FORMULAS",#N/A,FALSE,"ESTIMATE"}</definedName>
    <definedName name="wrn.Freq_Res." hidden="1">{#N/A,#N/A,TRUE,"FR_HC";#N/A,#N/A,TRUE,"FR_REST";#N/A,#N/A,TRUE,"FR_RETA";#N/A,#N/A,TRUE,"FR_TECSOF";#N/A,#N/A,TRUE,"FR_NETTEC";#N/A,#N/A,TRUE,"FR_CLISER"}</definedName>
    <definedName name="wrn.Full." hidden="1">{#N/A,#N/A,FALSE,"ExecutiveSummary";#N/A,#N/A,FALSE,"CostDetail";#N/A,#N/A,FALSE,"IncomeDetail";#N/A,#N/A,FALSE,"InterestCalculation"}</definedName>
    <definedName name="wrn.Full._.package." hidden="1">{#N/A,#N/A,FALSE,"Emmes Summary";#N/A,#N/A,FALSE,"Services Summary";#N/A,#N/A,FALSE,"Emmes All";#N/A,#N/A,FALSE,"Master Services";#N/A,#N/A,FALSE,"Emmes &amp; Co";#N/A,#N/A,FALSE,"Emmes JE Grid";#N/A,#N/A,FALSE,"Emmes  Entries";#N/A,#N/A,FALSE,"Emmes Services";#N/A,#N/A,FALSE,"Services JE Grid";#N/A,#N/A,FALSE,"Services Entries";#N/A,#N/A,FALSE,"Emmes Capital";#N/A,#N/A,FALSE,"Capital JE Grid ";#N/A,#N/A,FALSE,"Capital  Entries"}</definedName>
    <definedName name="wrn.Full._.Report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._.Report." hidden="1">{#N/A,#N/A,FALSE,"Summary";#N/A,#N/A,FALSE,"Project Summary";#N/A,#N/A,FALSE,"Master Developer Cash Flow";#N/A,#N/A,FALSE,"Development Cost Allocation";#N/A,#N/A,FALSE,"Costs";#N/A,#N/A,FALSE,"Pad Fees";#N/A,#N/A,FALSE,"Parking Budget";#N/A,#N/A,FALSE,"Podium Monthly Development #1";#N/A,#N/A,FALSE,"Podium Monthly Development #2";#N/A,#N/A,FALSE,"Podium Quarterly Development Bu";#N/A,#N/A,FALSE,"Parking Cash Flow";#N/A,#N/A,FALSE,"Parking Assumptions";#N/A,#N/A,FALSE,"Bond Debt Service";#N/A,#N/A,FALSE,"Bond Shortfall";#N/A,#N/A,FALSE,"Retail Development Budget";#N/A,#N/A,FALSE,"Retail Monthly Development Budg";#N/A,#N/A,FALSE,"Retail Quarterly Development Bu";#N/A,#N/A,FALSE,"Retail Cash Flow";#N/A,#N/A,FALSE,"Retail Cash Flow";#N/A,#N/A,FALSE,"Retail Assumptions";#N/A,#N/A,FALSE,"Retail Debt Service";#N/A,#N/A,FALSE,"Office Development Budget";#N/A,#N/A,FALSE,"Office Monthly Development Budg";#N/A,#N/A,FALSE,"Office Quarterly Development Bu";#N/A,#N/A,FALSE,"Office Cash Flow";#N/A,#N/A,FALSE,"Office Assumptions";#N/A,#N/A,FALSE,"Office Debt Service";#N/A,#N/A,FALSE,"Hotel Development Budget";#N/A,#N/A,FALSE,"Hotel Monthly Development Budge";#N/A,#N/A,FALSE,"Hotel Quarterly Development Bud";#N/A,#N/A,FALSE,"Hotel Cash Flow";#N/A,#N/A,FALSE,"Hotel Assumptions";#N/A,#N/A,FALSE,"Hotel Debt Service";#N/A,#N/A,FALSE,"Demographics-Hotel";#N/A,#N/A,FALSE,"Land Lease NPV"}</definedName>
    <definedName name="wrn.Full_Template." hidden="1">{#N/A,#N/A,FALSE,"1Summary";#N/A,#N/A,FALSE,"2Assumptions";#N/A,#N/A,FALSE,"3Cash Flow";#N/A,#N/A,FALSE,"4Year 1 Reconciliation";#N/A,#N/A,FALSE,"5Residual";#N/A,#N/A,FALSE,"6Residual (Year 20)";#N/A,#N/A,FALSE,"7Financing Sensitivity";#N/A,#N/A,FALSE,"8Residual Sensitivity";#N/A,#N/A,FALSE,"9Pricing Matrix";#N/A,#N/A,FALSE,"10Vacancy Matrix";#N/A,#N/A,FALSE,"11Expiration Schedule";#N/A,#N/A,FALSE,"12Lease-up Schedule";#N/A,#N/A,FALSE,"13Residual 2007";#N/A,#N/A,FALSE,"14Residual 2008";#N/A,#N/A,FALSE,"15Residual 2009";#N/A,#N/A,FALSE,"16Residual 2010";#N/A,#N/A,FALSE,"17Residual 2011";#N/A,#N/A,FALSE,"18Hold Disposition Matrix";#N/A,#N/A,FALSE,"19Other Disposition Matrix"}</definedName>
    <definedName name="wrn.FY97SBP." hidden="1">{#N/A,#N/A,FALSE,"FY97";#N/A,#N/A,FALSE,"FY98";#N/A,#N/A,FALSE,"FY99";#N/A,#N/A,FALSE,"FY00";#N/A,#N/A,FALSE,"FY01"}</definedName>
    <definedName name="wrn.Garage." hidden="1">{#N/A,#N/A,FALSE,"Garage Assumpt 1";#N/A,#N/A,FALSE,"Garage Op Proj";#N/A,#N/A,FALSE,"Hist I&amp;E";#N/A,#N/A,FALSE,"Garage Lease"}</definedName>
    <definedName name="wrn.General._.Information." hidden="1">{#N/A,#N/A,FALSE,"Input 2 - Sources of Funds"}</definedName>
    <definedName name="wrn.Golf._.Summary." hidden="1">{"View1",#N/A,FALSE,"Golf";"View2",#N/A,FALSE,"Golf";"View3",#N/A,FALSE,"Golf";"View4",#N/A,FALSE,"Golf";"View5",#N/A,FALSE,"Golf";"View6",#N/A,FALSE,"Golf";"View7",#N/A,FALSE,"Golf";"View8",#N/A,FALSE,"Golf";"View9",#N/A,FALSE,"Golf";"View10",#N/A,FALSE,"Golf";"View11",#N/A,FALSE,"Golf";"View12",#N/A,FALSE,"Golf"}</definedName>
    <definedName name="wrn.greg." hidden="1">{"three",#N/A,FALSE,"Capital";"four",#N/A,FALSE,"Capital"}</definedName>
    <definedName name="wrn.gros." hidden="1">{#N/A,#N/A,FALSE,"Sch01";#N/A,#N/A,FALSE,"Sch02";#N/A,#N/A,FALSE,"Sch04";#N/A,#N/A,FALSE,"Sch05";#N/A,#N/A,FALSE,"Sch05a";#N/A,#N/A,FALSE,"Sch06";#N/A,#N/A,FALSE,"Sch07";#N/A,#N/A,FALSE,"Sch08";#N/A,#N/A,FALSE,"Sch09";#N/A,#N/A,FALSE,"Sch10";#N/A,#N/A,FALSE,"Sch11";#N/A,#N/A,FALSE,"Sch12";#N/A,#N/A,FALSE,"Sch-C";#N/A,#N/A,FALSE,"Sch-E"}</definedName>
    <definedName name="wrn.Group._.B._.Report." hidden="1">{"Both Reports Group B",#N/A,FALSE,"Group B";"Both Reports S33",#N/A,FALSE,"S33 Weymouth";"Both Reports S35",#N/A,FALSE,"S35 Woodcrest";"Both Reports S36",#N/A,FALSE,"S36 Cheshire";"Both Reports S38",#N/A,FALSE,"S38 Newton"}</definedName>
    <definedName name="wrn.Group._.C._.Report." hidden="1">{"Group C",#N/A,FALSE,"Group C";"Total Bev",#N/A,FALSE,"S01 Beverly";"Total S15",#N/A,FALSE,"S15 Lexington";"Both Reports S26",#N/A,FALSE,"S26 Peabody";"Both Reports S27",#N/A,FALSE,"S27 Randolph";"Both Reports S31",#N/A,FALSE,"S31 Westport";"Both Reports S34",#N/A,FALSE,"S34 Wilmington Woods"}</definedName>
    <definedName name="wrn.GSA._.PRINT." hidden="1">{#N/A,#N/A,FALSE,"DEV COSTS";#N/A,#N/A,FALSE,"10-YR C. F."}</definedName>
    <definedName name="wrn.gsa._PRINT5" hidden="1">{#N/A,#N/A,FALSE,"DEV COSTS";#N/A,#N/A,FALSE,"10-YR C. F."}</definedName>
    <definedName name="wrn.Gund._.Arena._.PCD." localSheetId="2" hidden="1">{#N/A,#N/A,TRUE,"Gund Arena PCD";#N/A,#N/A,TRUE,"Gund Arena IOR"}</definedName>
    <definedName name="wrn.Gund._.Arena._.PCD." hidden="1">{#N/A,#N/A,TRUE,"Gund Arena PCD";#N/A,#N/A,TRUE,"Gund Arena IOR"}</definedName>
    <definedName name="wrn.Historical._.Analysis." hidden="1">{#N/A,#N/A,FALSE,"HISTORICAL REV &amp; EXP"}</definedName>
    <definedName name="wrn.Historical._.Rev._.Exp." hidden="1">{#N/A,#N/A,FALSE,"Historical Rev &amp; Exp"}</definedName>
    <definedName name="wrn.Historical._.Rev._.Exp._1" hidden="1">{#N/A,#N/A,FALSE,"Historical Rev &amp; Exp"}</definedName>
    <definedName name="wrn.History._.Proforma." hidden="1">{"History &amp; Projection",#N/A,FALSE,"History - Proforma"}</definedName>
    <definedName name="wrn.Hold._.Sell." hidden="1">{#N/A,#N/A,FALSE,"13Residual 2007";#N/A,#N/A,FALSE,"14Residual 2008";#N/A,#N/A,FALSE,"15Residual 2009";#N/A,#N/A,FALSE,"16Residual 2010";#N/A,#N/A,FALSE,"17Residual 2011";#N/A,#N/A,FALSE,"18Hold Disposition Matrix";#N/A,#N/A,FALSE,"19Other Disposition Matrix"}</definedName>
    <definedName name="wrn.IGT._.Model." hidden="1">{#N/A,#N/A,TRUE,"IGT";#N/A,#N/A,TRUE,"IGTSLOT"}</definedName>
    <definedName name="wrn.III." hidden="1">{"CASHFLOW",#N/A,FALSE,"Northpointe"}</definedName>
    <definedName name="wrn.Income._.Statements." hidden="1">{#N/A,#N/A,FALSE,"Consol CF";#N/A,#N/A,FALSE,"matx B4 DS";#N/A,#N/A,FALSE,"Hacienda CF";#N/A,#N/A,FALSE,"matx B4 DS Hac";#N/A,#N/A,FALSE,"Chabot CF";#N/A,#N/A,FALSE,"matx B4 DS Chabot";#N/A,#N/A,FALSE,"Diablo CF";#N/A,#N/A,FALSE,"matx B4 DS Diablo";#N/A,#N/A,FALSE,"HAC2-CF";#N/A,#N/A,FALSE,"HAC3-CF";#N/A,#N/A,FALSE,"HAC4-CF";#N/A,#N/A,FALSE,"HAC5-CF";#N/A,#N/A,FALSE,"HAC6-CF";#N/A,#N/A,FALSE,"HAC7-CF";#N/A,#N/A,FALSE,"HAC8-CF";#N/A,#N/A,FALSE,"HAC9-CF";#N/A,#N/A,FALSE,"HA10-CF"}</definedName>
    <definedName name="wrn.Index." hidden="1">{#N/A,#N/A,FALSE,"INDEX"}</definedName>
    <definedName name="wrn.Index._1" hidden="1">{#N/A,#N/A,FALSE,"INDEX"}</definedName>
    <definedName name="wrn.input._.and._.output." hidden="1">{"EBITDA",#N/A,TRUE,"P&amp;L Net of Disc Ops";"output net of disc ops",#N/A,TRUE,"Revenue";"input",#N/A,TRUE,"Revenue";"output",#N/A,TRUE,"DC";"Input",#N/A,TRUE,"DC";"MTN and MCN",#N/A,TRUE,"Margin";"output detail line items",#N/A,TRUE,"SGA";"personnel by year",#N/A,TRUE,"Payroll";#N/A,#N/A,TRUE,"CapEx"}</definedName>
    <definedName name="wrn.INPUT._.INFO." hidden="1">{"Input",#N/A,FALSE,"INPUT"}</definedName>
    <definedName name="wrn.Input._.Pages." hidden="1">{#N/A,#N/A,TRUE,"General Assumptions (Input)";#N/A,#N/A,TRUE,"Income (Input Page)";#N/A,#N/A,TRUE,"Related Mgmt Exps (Input Page)";#N/A,#N/A,TRUE,"Development Cost (Input)"}</definedName>
    <definedName name="wrn.Input._.Pages._.and._.Pro._.Forma." hidden="1">{#N/A,#N/A,TRUE,"General Assumptions (Input)";#N/A,#N/A,TRUE,"Related Mgmt Exps (Input Page)";#N/A,#N/A,TRUE,"Development Cost (Input)";#N/A,#N/A,TRUE,"Summary";#N/A,#N/A,TRUE,"Income (Input Page)";#N/A,#N/A,TRUE,"Expenses";#N/A,#N/A,TRUE,"Dev. Cost &amp; Elig. Basis(Input)";#N/A,#N/A,TRUE,"Tax Credit";#N/A,#N/A,TRUE,"Sources and Uses";#N/A,#N/A,TRUE,"Rent Up Reserve";#N/A,#N/A,TRUE,"Cash Flow";#N/A,#N/A,TRUE,"Construction Cash Flow"}</definedName>
    <definedName name="wrn.Inputs." hidden="1">{"Inflation-BaseYear",#N/A,FALSE,"Inputs"}</definedName>
    <definedName name="wrn.INTANGIBLES." hidden="1">{#N/A,#N/A,FALSE,"T-1 Intangibles"}</definedName>
    <definedName name="wrn.INTANGIBLES._1" hidden="1">{#N/A,#N/A,FALSE,"T-1 Intangibles"}</definedName>
    <definedName name="wrn.INTEREST." hidden="1">{#N/A,#N/A,FALSE,"0700 Interest Expense";#N/A,#N/A,FALSE,"0700-1 Summary of Interest Earn"}</definedName>
    <definedName name="wrn.INTEREST._1" hidden="1">{#N/A,#N/A,FALSE,"0700 Interest Expense";#N/A,#N/A,FALSE,"0700-1 Summary of Interest Earn"}</definedName>
    <definedName name="wrn.Interior._.finishes." localSheetId="2" hidden="1">{"interior finishes",#N/A,FALSE,"DETAIL.XLS"}</definedName>
    <definedName name="wrn.Interior._.finishes." hidden="1">{"interior finishes",#N/A,FALSE,"DETAIL.XLS"}</definedName>
    <definedName name="wrn.INVENTORY." hidden="1">{#N/A,#N/A,FALSE,"F-1 Inventory Price Test-RM";#N/A,#N/A,FALSE,"F-2 Inventory-Test Count"}</definedName>
    <definedName name="wrn.INVENTORY._1" hidden="1">{#N/A,#N/A,FALSE,"F-1 Inventory Price Test-RM";#N/A,#N/A,FALSE,"F-2 Inventory-Test Count"}</definedName>
    <definedName name="wrn.invest." hidden="1">{#N/A,#N/A,FALSE,"1Summary";#N/A,#N/A,FALSE,"2Assumptions";#N/A,#N/A,FALSE,"3Cash Flow";#N/A,#N/A,FALSE,"3Cash Flow";#N/A,#N/A,FALSE,"developer";#N/A,#N/A,FALSE,"monthly";#N/A,#N/A,FALSE,"4Residual";#N/A,#N/A,FALSE,"5Residual (Year 20)";#N/A,#N/A,FALSE,"6Pricing Matrix";#N/A,#N/A,FALSE,"7Vacancy Matrix";#N/A,#N/A,FALSE,"8Expiration Schedule";#N/A,#N/A,FALSE,"9Lease-up Schedule";#N/A,#N/A,FALSE,"CNSTRBGT.XLS"}</definedName>
    <definedName name="wrn.Investment._.Review." hidden="1">{#N/A,#N/A,FALSE,"Proforma Five Yr";#N/A,#N/A,FALSE,"Capital Input";#N/A,#N/A,FALSE,"Calculations";#N/A,#N/A,FALSE,"Transaction Summary-DTW"}</definedName>
    <definedName name="wrn.Investment._.Summary._.Golf._.Suites." hidden="1">{"Preferred Equity IRR",#N/A,FALSE,"PROFORMA";"GP Cash Flow and IRR",#N/A,FALSE,"PROFORMA"}</definedName>
    <definedName name="wrn.IP._.STOCK._.REPORT." hidden="1">{#N/A,#N/A,FALSE,"IPCOVER";#N/A,#N/A,FALSE,"STATEMENT";#N/A,#N/A,FALSE,"MARGIN";#N/A,#N/A,FALSE,"GNS &amp; LSS";#N/A,#N/A,FALSE,"IPREALGL";#N/A,#N/A,FALSE,"SHRTACCT"}</definedName>
    <definedName name="wrn.IRR." hidden="1">{"IRR Benefits",#N/A,FALSE,"IRR";"Tax Credits",#N/A,FALSE,"IRR"}</definedName>
    <definedName name="wrn.IRR._.CORP._.7." hidden="1">{"IRR",#N/A,FALSE,"Corp 7 IRR";"Input",#N/A,FALSE,"Corp 7 IRR"}</definedName>
    <definedName name="wrn.jan._.98." hidden="1">{"sheet a",#N/A,FALSE,"A";"sheet b 1",#N/A,FALSE,"B";"sheet b 2",#N/A,FALSE,"B"}</definedName>
    <definedName name="wrn.LAKEANNE7." hidden="1">{#N/A,#N/A,FALSE,"DEV SUMMARY";#N/A,#N/A,FALSE,"INV SUMMARY";#N/A,#N/A,FALSE,"REV SUMMARY";#N/A,#N/A,FALSE,"CONST COST"}</definedName>
    <definedName name="wrn.Land." hidden="1">{"Land",#N/A,FALSE,"Land"}</definedName>
    <definedName name="wrn.Land._.Takedown._.Summary." hidden="1">{"land1",#N/A,FALSE,"Land";"land2",#N/A,FALSE,"Land";"land3",#N/A,FALSE,"Land"}</definedName>
    <definedName name="wrn.Latent._.Demand._.Inputs." hidden="1">{#N/A,#N/A,FALSE,"Latent"}</definedName>
    <definedName name="wrn.Lease._.Rollover." hidden="1">{#N/A,#N/A,FALSE,"Lease Rollover"}</definedName>
    <definedName name="wrn.Lease._.Rollover._1" hidden="1">{#N/A,#N/A,FALSE,"Lease Rollover"}</definedName>
    <definedName name="wrn.Leases." hidden="1">{#N/A,#N/A,FALSE,"Leases"}</definedName>
    <definedName name="wrn.Leasing._.Variance." hidden="1">{#N/A,#N/A,FALSE,"Leasing 6A"}</definedName>
    <definedName name="wrn.Lender..Golf._.Only." hidden="1">{#N/A,#N/A,FALSE,"B-DevBud--Lend--Golf";#N/A,#N/A,FALSE,"B-Loan Terms--Golf";#N/A,#N/A,FALSE,"B-LTV--Golf";#N/A,#N/A,FALSE,"B-Project CF--Golf"}</definedName>
    <definedName name="wrn.Lender..Hotel._.Only." hidden="1">{#N/A,#N/A,FALSE,"B-DevBud--Lend--Hotel";#N/A,#N/A,FALSE,"B-Loan Terms--Hotel";#N/A,#N/A,FALSE,"B-LTV--Hotel";#N/A,#N/A,FALSE,"B-Project CF--Hotel";#N/A,#N/A,FALSE,"HotelCF"}</definedName>
    <definedName name="wrn.LETTERED." hidden="1">{"HEITMAN COPY",#N/A,FALSE,"SCHEDULE A";"MINIMUM RENT",#N/A,FALSE,"SCHEDULES B &amp; C";"PERCENTAGE RENT",#N/A,FALSE,"SCHEDULES B &amp; C";#N/A,#N/A,FALSE,"SCHEDULE D";"SUMMARY SCHEDULE",#N/A,FALSE,"SCHEDULE E";#N/A,#N/A,FALSE,"SCHEDULE F";"SUMMARY SCHEDULE",#N/A,FALSE,"SCHEDULE H";"SUMMARY SCHEDULE",#N/A,FALSE,"SCHEDULE I";#N/A,#N/A,FALSE,"SCHEDULE J"}</definedName>
    <definedName name="wrn.LIFE._.INS.._.LOANS." hidden="1">{#N/A,#N/A,FALSE,"TT-1 Officers' Life Insurance"}</definedName>
    <definedName name="wrn.LIFE._.INS.._.LOANS._1" hidden="1">{#N/A,#N/A,FALSE,"TT-1 Officers' Life Insurance"}</definedName>
    <definedName name="wrn.lnsum" hidden="1">{"Loan Summary",#N/A,FALSE,"Phase 1 loan &amp; data"}</definedName>
    <definedName name="wrn.Loan._.Pricing._.Analysis." hidden="1">{#N/A,#N/A,FALSE,"LOAN ANALYSIS"}</definedName>
    <definedName name="wrn.Loan._.Pricing._.Analysis._1" hidden="1">{#N/A,#N/A,FALSE,"LOAN ANALYSIS"}</definedName>
    <definedName name="wrn.Loan._.Summary." hidden="1">{"Loan Summary",#N/A,FALSE,"Phase 1 loan &amp; data"}</definedName>
    <definedName name="wrn.LoanInformation." hidden="1">{#N/A,#N/A,FALSE,"LoanAssumptions"}</definedName>
    <definedName name="wrn.Loanrecap." hidden="1">{"Loanrecap",#N/A,FALSE,"Construction"}</definedName>
    <definedName name="wrn.Lodging." hidden="1">{#N/A,#N/A,FALSE,"EPS";#N/A,#N/A,FALSE,"EBITDA"}</definedName>
    <definedName name="wrn.LONG._.TERM._.DEBT." hidden="1">{#N/A,#N/A,FALSE,"MM-1 Long Term Debt"}</definedName>
    <definedName name="wrn.LONG._.TERM._.DEBT._1" hidden="1">{#N/A,#N/A,FALSE,"MM-1 Long Term Debt"}</definedName>
    <definedName name="wrn.Lot._.Inventory." hidden="1">{"lot inventory",#N/A,FALSE,"Lot List"}</definedName>
    <definedName name="wrn.Lot._.Summary." hidden="1">{"Lot Prices",#N/A,FALSE,"LOTS-PRICING";"lot1",#N/A,FALSE,"Lots";"lot2",#N/A,FALSE,"Lots";"Lot3",#N/A,FALSE,"Lots";"lot4",#N/A,FALSE,"Lots";"lot5",#N/A,FALSE,"Lots";"lot6",#N/A,FALSE,"Lots";"lot7",#N/A,FALSE,"Lots";"lot8",#N/A,FALSE,"Lots";"lot9",#N/A,FALSE,"Lots";"lot10",#N/A,FALSE,"Lots";"lot11",#N/A,FALSE,"Lots";"lot12",#N/A,FALSE,"Lots"}</definedName>
    <definedName name="wrn.ltrd." hidden="1">{"HEITMAN COPY",#N/A,FALSE,"SCHEDULE A";"MINIMUM RENT",#N/A,FALSE,"SCHEDULES B &amp; C";"PERCENTAGE RENT",#N/A,FALSE,"SCHEDULES B &amp; C";#N/A,#N/A,FALSE,"SCHEDULE D";"SUMMARY SCHEDULE",#N/A,FALSE,"SCHEDULE E";#N/A,#N/A,FALSE,"SCHEDULE F";"SUMMARY SCHEDULE",#N/A,FALSE,"SCHEDULE H";"SUMMARY SCHEDULE",#N/A,FALSE,"SCHEDULE I";#N/A,#N/A,FALSE,"SCHEDULE J"}</definedName>
    <definedName name="wrn.LTV._.Output." hidden="1">{"LTV Output",#N/A,FALSE,"Output"}</definedName>
    <definedName name="wrn.Main._.CBO._.Report." hidden="1">{"LIBOR",#N/A,TRUE,"Model";"Caps",#N/A,TRUE,"Model";"Assets",#N/A,TRUE,"Model";"Liabilities",#N/A,TRUE,"Model";"Tests",#N/A,TRUE,"Model";"Results",#N/A,TRUE,"Model"}</definedName>
    <definedName name="wrn.Market._.Values." hidden="1">{#N/A,#N/A,TRUE,"10 Yr Hold";#N/A,#N/A,TRUE,"7 Yr Hold";#N/A,#N/A,TRUE,"5 Yr Hold";#N/A,#N/A,TRUE,"3 Yr Hold"}</definedName>
    <definedName name="wrn.Market._.Values._1" hidden="1">{#N/A,#N/A,TRUE,"10 Yr Hold";#N/A,#N/A,TRUE,"7 Yr Hold";#N/A,#N/A,TRUE,"5 Yr Hold";#N/A,#N/A,TRUE,"3 Yr Hold"}</definedName>
    <definedName name="wrn.MARKETABLE._.SEC.." hidden="1">{#N/A,#N/A,FALSE,"B-1 Mkt. Sec. - Int.";#N/A,#N/A,FALSE,"B-2 Mkt. Sec. - Val.";#N/A,#N/A,FALSE,"B-3 Mkt. Sec. - Gain (Loss)"}</definedName>
    <definedName name="wrn.MARKETABLE._.SEC.._1" hidden="1">{#N/A,#N/A,FALSE,"B-1 Mkt. Sec. - Int.";#N/A,#N/A,FALSE,"B-2 Mkt. Sec. - Val.";#N/A,#N/A,FALSE,"B-3 Mkt. Sec. - Gain (Loss)"}</definedName>
    <definedName name="wrn.Marketing." hidden="1">{#N/A,#N/A,FALSE,"2Assumptions";#N/A,#N/A,FALSE,"3Cash Flow";#N/A,#N/A,FALSE,"I&amp;E";#N/A,#N/A,FALSE,"I&amp;E (2)";#N/A,#N/A,FALSE,"10Vacancy Matrix";#N/A,#N/A,FALSE,"11Expiration Schedule"}</definedName>
    <definedName name="wrn.MATRICES._.and._.CFs." hidden="1">{#N/A,#N/A,FALSE,"Assumptions";#N/A,#N/A,FALSE,"Consol CF";#N/A,#N/A,FALSE,"matx B4 DS";#N/A,#N/A,FALSE,"Hacienda CF";#N/A,#N/A,FALSE,"matx B4 DS Hac";#N/A,#N/A,FALSE,"Chabot CF";#N/A,#N/A,FALSE,"matx B4 DS Chabot";#N/A,#N/A,FALSE,"Diablo CF";#N/A,#N/A,FALSE,"matx B4 DS Diablo"}</definedName>
    <definedName name="wrn.MATRICIES._.ONLY." hidden="1">{#N/A,#N/A,FALSE,"matx B4 DS";#N/A,#N/A,FALSE,"matx B4 DS Hac";#N/A,#N/A,FALSE,"matx B4 DS Chabot";#N/A,#N/A,FALSE,"matx B4 DS Diablo"}</definedName>
    <definedName name="wrn.MERGER._.PLANS." hidden="1">{"Assumptions1",#N/A,FALSE,"Assumptions";"MergerPlans1","20yearamort",FALSE,"MergerPlans";"MergerPlans1","40yearamort",FALSE,"MergerPlans";"MergerPlans2",#N/A,FALSE,"MergerPlans";"inputs",#N/A,FALSE,"MergerPlans"}</definedName>
    <definedName name="wrn.minrenn" hidden="1">{"MINRENT2",#N/A,FALSE,"SCHEDULE B"}</definedName>
    <definedName name="wrn.MINRENT." hidden="1">{"MINRENT2",#N/A,FALSE,"SCHEDULE B"}</definedName>
    <definedName name="wrn.minrent.2" hidden="1">{"MINRENT2",#N/A,FALSE,"SCHEDULE B"}</definedName>
    <definedName name="wrn.mirBellagio." hidden="1">{#N/A,#N/A,FALSE,"MIR";#N/A,#N/A,FALSE,"NYNY"}</definedName>
    <definedName name="wrn.mkting" hidden="1">{#N/A,#N/A,FALSE,"MARKETING I";#N/A,#N/A,FALSE,"MARKETING II";#N/A,#N/A,FALSE,"MARKETING III"}</definedName>
    <definedName name="wrn.Model." hidden="1">{#N/A,#N/A,FALSE,"PRH";#N/A,#N/A,FALSE,"Units"}</definedName>
    <definedName name="wrn.MODEL5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nthly." hidden="1">{#N/A,#N/A,FALSE,"Running Total";#N/A,#N/A,FALSE,"Oct 96";#N/A,#N/A,FALSE,"Nov 96";#N/A,#N/A,FALSE,"Dec 96";#N/A,#N/A,FALSE,"Jan 97";#N/A,#N/A,FALSE,"Feb 97";#N/A,#N/A,FALSE,"Mar 97";#N/A,#N/A,FALSE,"Apr 97";#N/A,#N/A,FALSE,"May 97";#N/A,#N/A,FALSE,"June 97";#N/A,#N/A,FALSE,"July 97"}</definedName>
    <definedName name="wrn.Monthly._.Detail._.Reports." hidden="1">{"Detail Project Cash Flow",#N/A,TRUE,"Cash Flow Grid";"Financing Calculation",#N/A,TRUE,"Cash Flow Grid"}</definedName>
    <definedName name="wrn.monthly._.financial." hidden="1">{#N/A,#N/A,FALSE,"SUMMARY 4a";#N/A,#N/A,FALSE,"GBA 4b";#N/A,#N/A,FALSE,"TENANT 4c";#N/A,#N/A,FALSE,"BUDGET DETAIL";#N/A,#N/A,FALSE,"PRO FORMA"}</definedName>
    <definedName name="wrn.MonthlyRentRoll." hidden="1">{"MonthlyRentRoll",#N/A,FALSE,"RentRoll"}</definedName>
    <definedName name="wrn.Mortgage._.Loan._.Sch." hidden="1">{#N/A,#N/A,FALSE,"Mortgage Loan Sch"}</definedName>
    <definedName name="wrn.Mortgage._.Loan._.Sch._1" hidden="1">{#N/A,#N/A,FALSE,"Mortgage Loan Sch"}</definedName>
    <definedName name="wrn.NCL._.Tower._.Five._.Year._.Hold." hidden="1">{#N/A,#N/A,FALSE,"North Central Life";#N/A,#N/A,FALSE,"Town Square";#N/A,#N/A,FALSE,"Summary"}</definedName>
    <definedName name="wrn.new." hidden="1">{#N/A,#N/A,FALSE,"Impl";#N/A,#N/A,FALSE,"sum";#N/A,#N/A,FALSE,"cat";#N/A,#N/A,FALSE,"cum";#N/A,#N/A,FALSE,"varity";#N/A,#N/A,FALSE,"ddc";#N/A,#N/A,FALSE,"man";#N/A,#N/A,FALSE,"metra";#N/A,#N/A,FALSE,"volvo"}</definedName>
    <definedName name="wrn.Normal._.Version." hidden="1">{#N/A,#N/A,TRUE,"Table of Contents";#N/A,#N/A,TRUE,"Deal Summary";#N/A,#N/A,TRUE,"Value Asmptns &amp; Refi Reqmts";#N/A,#N/A,TRUE,"Waterfall-Worksheet";#N/A,#N/A,TRUE,"Proof Sheet";#N/A,#N/A,TRUE,"Return Partnership";#N/A,#N/A,TRUE,"Return Doshi";#N/A,#N/A,TRUE,"Return Citi";#N/A,#N/A,TRUE,"Return R&amp;F";#N/A,#N/A,TRUE,"Cap Acct Doshi";#N/A,#N/A,TRUE,"Cap Acct Citi";#N/A,#N/A,TRUE,"Cap Acct R&amp;F";#N/A,#N/A,TRUE,"R&amp;F ACC SubAccount";#N/A,#N/A,TRUE,"Citi Distribution Limitation";#N/A,#N/A,TRUE,"Debt Calculation";#N/A,#N/A,TRUE,"Prepayment Penalty"}</definedName>
    <definedName name="wrn.Northstar." hidden="1">{#N/A,#N/A,FALSE,"Services Summary";#N/A,#N/A,FALSE,"Emmes Summary";#N/A,#N/A,FALSE,"Northstar"}</definedName>
    <definedName name="wrn.NOTES._.REC.." hidden="1">{#N/A,#N/A,FALSE,"H-1 Notes Receivable"}</definedName>
    <definedName name="wrn.NOTES._.REC.._1" hidden="1">{#N/A,#N/A,FALSE,"H-1 Notes Receivable"}</definedName>
    <definedName name="wrn.Occupancy._.Calcs." hidden="1">{#N/A,#N/A,FALSE,"Occ. Calcs"}</definedName>
    <definedName name="wrn.ODB." hidden="1">{"ODB",#N/A,FALSE,"Hold Scenario"}</definedName>
    <definedName name="wrn.office." hidden="1">{#N/A,#N/A,FALSE,"Pad Fees";#N/A,#N/A,FALSE,"Parking Budget";#N/A,#N/A,FALSE,"Parking Cash Flow";#N/A,#N/A,FALSE,"Parking Assumptions Summary";#N/A,#N/A,FALSE,"Assumptions-M";#N/A,#N/A,FALSE,"Assumptions-T";#N/A,#N/A,FALSE,"Assumptions-W";#N/A,#N/A,FALSE,"Assumptions-R";#N/A,#N/A,FALSE,"Assumptions-F";#N/A,#N/A,FALSE,"Assumptions-Sa";#N/A,#N/A,FALSE,"Assumptions-Su";#N/A,#N/A,FALSE,"Bond Debt Service";#N/A,#N/A,FALSE,"Bond Shortfall"}</definedName>
    <definedName name="wrn.OFFICE._.BUDGET." localSheetId="2" hidden="1">{#N/A,#N/A,FALSE,"LP Exp";#N/A,#N/A,FALSE,"Salary";#N/A,#N/A,FALSE,"Admin Exp";#N/A,#N/A,FALSE,"QTS Bud";#N/A,#N/A,FALSE,"Marketing"}</definedName>
    <definedName name="wrn.OFFICE._.BUDGET." hidden="1">{#N/A,#N/A,FALSE,"LP Exp";#N/A,#N/A,FALSE,"Salary";#N/A,#N/A,FALSE,"Admin Exp";#N/A,#N/A,FALSE,"QTS Bud";#N/A,#N/A,FALSE,"Marketing"}</definedName>
    <definedName name="wrn.ontario." hidden="1">{"page1",#N/A,FALSE,"sheet 1";"Page2",#N/A,FALSE,"sheet 1";"page3",#N/A,FALSE,"sheet 1";"page4",#N/A,FALSE,"sheet 1"}</definedName>
    <definedName name="wrn.OperatingAssumtions." hidden="1">{#N/A,#N/A,FALSE,"OperatingAssumptions"}</definedName>
    <definedName name="wrn.Operations._.Review." hidden="1">{#N/A,#N/A,FALSE,"Proforma Five Yr";#N/A,#N/A,FALSE,"Occ and Rate";#N/A,#N/A,FALSE,"PF Input";#N/A,#N/A,FALSE,"Hotcomps"}</definedName>
    <definedName name="wrn.Ops._.Charlie._.Packet." hidden="1">{#N/A,#N/A,FALSE,"Proforma Five Yr";#N/A,#N/A,FALSE,"Occ and Rate";#N/A,#N/A,FALSE,"PF Input";#N/A,#N/A,FALSE,"Ops Summary";#N/A,#N/A,FALSE,"Hotcomps"}</definedName>
    <definedName name="wrn.OTHER._.INCOME." hidden="1">{#N/A,#N/A,FALSE,"0600-1 Other Income (Expense)"}</definedName>
    <definedName name="wrn.OTHER._.INCOME._1" hidden="1">{#N/A,#N/A,FALSE,"0600-1 Other Income (Expense)"}</definedName>
    <definedName name="wrn.Output." hidden="1">{#N/A,#N/A,TRUE,"Cover";#N/A,#N/A,TRUE,"Summary";#N/A,#N/A,TRUE,"Assumptions";#N/A,#N/A,TRUE,"Stack";#N/A,#N/A,TRUE,"Budget";#N/A,#N/A,TRUE,"Condo Summary";#N/A,#N/A,TRUE,"Sellout Summary"}</definedName>
    <definedName name="wrn.Output3Column." hidden="1">{"Output-3Column",#N/A,FALSE,"Output"}</definedName>
    <definedName name="wrn.OutputAll." hidden="1">{"Output-All",#N/A,FALSE,"Output"}</definedName>
    <definedName name="wrn.OutputBaseYear." hidden="1">{"Output-BaseYear",#N/A,FALSE,"Output"}</definedName>
    <definedName name="wrn.OutputMin." hidden="1">{"Output-Min",#N/A,FALSE,"Output"}</definedName>
    <definedName name="wrn.OutputPercent." hidden="1">{"Output%",#N/A,FALSE,"Output"}</definedName>
    <definedName name="wrn.Overview._.Reports." hidden="1">{#N/A,#N/A,FALSE,"DCF Values";#N/A,#N/A,FALSE,"Overview";#N/A,#N/A,FALSE,"Earnings";#N/A,#N/A,FALSE,"StockMarketValues";#N/A,#N/A,FALSE,"Asset Values";#N/A,#N/A,FALSE,"Accretion EPS";#N/A,#N/A,FALSE,"Accretion CFPS";#N/A,#N/A,FALSE,"santafe";#N/A,#N/A,FALSE,"noble";#N/A,#N/A,FALSE,"Combined Results"}</definedName>
    <definedName name="wrn.p3" hidden="1">{"TB_PR","50",FALSE,"PR_TRIAL_BALANCE";"TB_PR","51",FALSE,"PR_TRIAL_BALANCE";"TB_PR","52",FALSE,"PR_TRIAL_BALANCE";"TB_PR","53",FALSE,"PR_TRIAL_BALANCE";"TB_PR","54",FALSE,"PR_TRIAL_BALANCE";"TB_PR","55",FALSE,"PR_TRIAL_BALANCE";"TB_PR","56",FALSE,"PR_TRIAL_BALANCE";"TB_PR","57",FALSE,"PR_TRIAL_BALANCE";"TB_PR","61",FALSE,"PR_TRIAL_BALANCE";"TB_PR","63",FALSE,"PR_TRIAL_BALANCE";"TB_PR","65",FALSE,"PR_TRIAL_BALANCE";"TB_PR","66",FALSE,"PR_TRIAL_BALANCE"}</definedName>
    <definedName name="wrn.Package." hidden="1">{#N/A,#N/A,FALSE,"Executive Summary";#N/A,#N/A,FALSE,"Assumptions";#N/A,#N/A,FALSE,"Cash Flow";#N/A,#N/A,FALSE,"I&amp;E ";#N/A,#N/A,FALSE,"Occupancy Cost";#N/A,#N/A,FALSE,"Vacancy (Mall)";#N/A,#N/A,FALSE,"Expiration Schedule";#N/A,#N/A,FALSE,"Expiration Graph ";#N/A,#N/A,FALSE,"sales graph";#N/A,#N/A,FALSE,"Vacant rents";#N/A,#N/A,FALSE,"Hist Sales";#N/A,#N/A,FALSE,"Monthly Sales";#N/A,#N/A,FALSE,"Rent Roll"}</definedName>
    <definedName name="wrn.pages12." hidden="1">{"page1",#N/A,FALSE,"The Sheet!!";"page2",#N/A,FALSE,"The Sheet!!"}</definedName>
    <definedName name="wrn.Palms._.at._.South._.Shore." hidden="1">{#N/A,#N/A,FALSE,"loananalysis";#N/A,#N/A,FALSE,"proforma";#N/A,#N/A,FALSE,"unitmix"}</definedName>
    <definedName name="wrn.Partial." hidden="1">{#N/A,#N/A,FALSE,"Assumptions";#N/A,#N/A,FALSE,"Year One Pro Forma";#N/A,#N/A,FALSE,"Rent Roll Summary";#N/A,#N/A,FALSE,"Market Rent Detail";#N/A,#N/A,FALSE,"Rent Roll Summary";#N/A,#N/A,FALSE,"Market Rent Increases";#N/A,#N/A,FALSE,"Exec Sum 10Yr";#N/A,#N/A,FALSE,"Cash Flow Projections";#N/A,#N/A,FALSE,"Net Residual Value";#N/A,#N/A,FALSE,"Effective Rental Income Detail";#N/A,#N/A,FALSE,"Turnovers";#N/A,#N/A,FALSE,"Matrices"}</definedName>
    <definedName name="wrn.Penetration." hidden="1">{#N/A,#N/A,FALSE,"Mkt Pen"}</definedName>
    <definedName name="wrn.PERCENTAGE._.RENT." hidden="1">{"PERCENTAGE RENT",#N/A,TRUE,"SCHEDULE B"}</definedName>
    <definedName name="wrn.Phase._.I." hidden="1">{#N/A,#N/A,FALSE,"Transaction Summary-DTW";#N/A,#N/A,FALSE,"Proforma Five Yr";#N/A,#N/A,FALSE,"Occ and Rate"}</definedName>
    <definedName name="wrn.Pineway." hidden="1">{#N/A,#N/A,FALSE,"rent schedule";#N/A,#N/A,FALSE,"income expenses";#N/A,#N/A,FALSE,"proforma";#N/A,#N/A,FALSE,"proforma stab";#N/A,#N/A,FALSE,"loan analysis";#N/A,#N/A,FALSE,"loan analysis stab";#N/A,#N/A,FALSE,"income expenses"}</definedName>
    <definedName name="wrn.PK._.Variance." localSheetId="2" hidden="1">{#N/A,#N/A,FALSE,"399 Park Var";#N/A,#N/A,FALSE,"PK NOTES"}</definedName>
    <definedName name="wrn.PK._.Variance." hidden="1">{#N/A,#N/A,FALSE,"399 Park Var";#N/A,#N/A,FALSE,"PK NOTES"}</definedName>
    <definedName name="wrn.pl." hidden="1">{#N/A,#N/A,FALSE,"Cons PL-Accrual"}</definedName>
    <definedName name="wrn.PLAZA._.AMERICA." hidden="1">{#N/A,#N/A,FALSE,"INV SUMMARY";#N/A,#N/A,FALSE,"REV SUMMARY";#N/A,#N/A,FALSE,"CONST COST"}</definedName>
    <definedName name="wrn.PR_TRIAL_BALANCE." hidden="1">{"TB_PR","50",FALSE,"PR_TRIAL_BALANCE";"TB_PR","51",FALSE,"PR_TRIAL_BALANCE";"TB_PR","52",FALSE,"PR_TRIAL_BALANCE";"TB_PR","53",FALSE,"PR_TRIAL_BALANCE";"TB_PR","54",FALSE,"PR_TRIAL_BALANCE";"TB_PR","55",FALSE,"PR_TRIAL_BALANCE";"TB_PR","56",FALSE,"PR_TRIAL_BALANCE";"TB_PR","57",FALSE,"PR_TRIAL_BALANCE";"TB_PR","61",FALSE,"PR_TRIAL_BALANCE";"TB_PR","63",FALSE,"PR_TRIAL_BALANCE";"TB_PR","65",FALSE,"PR_TRIAL_BALANCE";"TB_PR","66",FALSE,"PR_TRIAL_BALANCE"}</definedName>
    <definedName name="wrn.prcntrent" hidden="1">{"PERCENTAGE RENT",#N/A,TRUE,"SCHEDULE B"}</definedName>
    <definedName name="wrn.PREPAIDS." hidden="1">{#N/A,#N/A,FALSE,"G-1 Prepaid Expenses-Other";#N/A,#N/A,FALSE,"G-2 Prepaid Property Taxes";#N/A,#N/A,FALSE,"G-3 Prepaid Insurance "}</definedName>
    <definedName name="wrn.PREPAIDS._1" hidden="1">{#N/A,#N/A,FALSE,"G-1 Prepaid Expenses-Other";#N/A,#N/A,FALSE,"G-2 Prepaid Property Taxes";#N/A,#N/A,FALSE,"G-3 Prepaid Insurance "}</definedName>
    <definedName name="wrn.pres." hidden="1">{#N/A,#N/A,FALSE,"Major v. River";#N/A,#N/A,FALSE,"Industry";#N/A,#N/A,FALSE,"Large Operators";#N/A,#N/A,FALSE,"Smaller Operators";#N/A,#N/A,FALSE,"Equip. Supply";#N/A,#N/A,FALSE,"EBITDA";#N/A,#N/A,FALSE,"States";#N/A,#N/A,FALSE,"LV Detail"}</definedName>
    <definedName name="wrn.PRES_OUT." hidden="1">{"page1",#N/A,FALSE,"PRESENTATION";"page2",#N/A,FALSE,"PRESENTATION";#N/A,#N/A,FALSE,"Valuation Summary"}</definedName>
    <definedName name="wrn.pres97." hidden="1">{#N/A,#N/A,FALSE,"Cover";#N/A,#N/A,FALSE,"Major v. River";#N/A,#N/A,FALSE,"Industry";#N/A,#N/A,FALSE,"Stock Val";#N/A,#N/A,FALSE,"EBITDA";#N/A,#N/A,FALSE,"EBITDA Growth";#N/A,#N/A,FALSE,"LV REt";#N/A,#N/A,FALSE,"AC Ret";#N/A,#N/A,FALSE,"River Ret";#N/A,#N/A,FALSE,"Executive";#N/A,#N/A,FALSE,"Demographics";#N/A,#N/A,FALSE,"Leisure";#N/A,#N/A,FALSE,"States";#N/A,#N/A,FALSE,"nongame";#N/A,#N/A,FALSE,"nongame2";#N/A,#N/A,FALSE,"Room Margin";#N/A,#N/A,FALSE,"Hyp Casino";#N/A,#N/A,FALSE,"lv gates";#N/A,#N/A,FALSE,"potential";#N/A,#N/A,FALSE,"Large Operators";#N/A,#N/A,FALSE,"Smaller Operators";#N/A,#N/A,FALSE,"Equip. Supply";#N/A,#N/A,FALSE,"LV Detail $1 Mil"}</definedName>
    <definedName name="wrn.Presentation." hidden="1">{#N/A,#N/A,TRUE,"Summary";"AnnualRentRoll",#N/A,TRUE,"RentRoll";#N/A,#N/A,TRUE,"ExitStratigy";#N/A,#N/A,TRUE,"OperatingAssumptions"}</definedName>
    <definedName name="wrn.Presentation._1" hidden="1">{#N/A,#N/A,FALSE,"INDEX";#N/A,#N/A,FALSE,"Mortgage Loan Sch";#N/A,#N/A,FALSE,"Exec Summary";#N/A,#N/A,FALSE,"Strengths &amp; Weaknesses";#N/A,#N/A,FALSE,"Underwriting Analysis";#N/A,#N/A,FALSE,"HISTORICAL REV &amp; EXP";#N/A,#N/A,FALSE,"Rent Roll";#N/A,#N/A,FALSE,"Recovery Calcs";#N/A,#N/A,FALSE,"Lease Rollover";#N/A,#N/A,FALSE,"APPRAISAL";#N/A,#N/A,FALSE,"APPRAISAL 2";#N/A,#N/A,FALSE,"APPRAISAL 3";#N/A,#N/A,FALSE,"ENGINEERING";#N/A,#N/A,FALSE,"ENVIRONMENTAL";#N/A,#N/A,FALSE,"CREDIT";#N/A,#N/A,FALSE,"Taxes, Insurance, Title";#N/A,#N/A,FALSE,"LOAN ANALYSIS";#N/A,#N/A,FALSE,"SOURCES &amp; USES";#N/A,#N/A,FALSE,"Working List";#N/A,#N/A,FALSE,"Underwriting Comparison"}</definedName>
    <definedName name="wrn.Presentation2" hidden="1">{#N/A,#N/A,FALSE,"INDEX";#N/A,#N/A,FALSE,"CONTROL";#N/A,#N/A,FALSE,"COMPLIANCE";#N/A,#N/A,FALSE,"OVERVIEW";#N/A,#N/A,FALSE,"OVERVIEW 1";#N/A,#N/A,FALSE,"1995 Rev &amp; Exp";#N/A,#N/A,FALSE,"HISTORICAL REV &amp; EXP";#N/A,#N/A,FALSE,"LEASES";#N/A,#N/A,FALSE,"APPRAISAL";#N/A,#N/A,FALSE,"APPRAISAL 2";#N/A,#N/A,FALSE,"APPRAISAL 3";#N/A,#N/A,FALSE,"ENGINEERING";#N/A,#N/A,FALSE,"ENVIRONMENTAL";#N/A,#N/A,FALSE,"CREDIT";#N/A,#N/A,FALSE,"ASSET MGMT.";#N/A,#N/A,FALSE,"LOAN ANALYSIS";#N/A,#N/A,FALSE,"SOURCES &amp; USES";#N/A,#N/A,FALSE,"Working List"}</definedName>
    <definedName name="wrn.Pricing._.Strategy." hidden="1">{#N/A,#N/A,FALSE,"1Summary";#N/A,#N/A,FALSE,"2Assumptions";#N/A,#N/A,FALSE,"3Cash Flow";#N/A,#N/A,FALSE,"4Year 1 Reconciliation";#N/A,#N/A,FALSE,"5Residual";#N/A,#N/A,FALSE,"6Residual (Year 20)";#N/A,#N/A,FALSE,"7Financing Sensitivity";#N/A,#N/A,FALSE,"8Residual Sensitivity";#N/A,#N/A,FALSE,"9Pricing Matrix";#N/A,#N/A,FALSE,"10Vacancy Matrix";#N/A,#N/A,FALSE,"11Expiration Schedule";#N/A,#N/A,FALSE,"12Lease-up Schedule"}</definedName>
    <definedName name="wrn.Primary._.Competition." hidden="1">{#N/A,#N/A,FALSE,"Primary"}</definedName>
    <definedName name="wrn.Print." localSheetId="2" hidden="1">{"View1",#N/A,FALSE,"Sheet1";"View2",#N/A,FALSE,"Sheet1"}</definedName>
    <definedName name="wrn.Print." hidden="1">{"View1",#N/A,FALSE,"Sheet1";"View2",#N/A,FALSE,"Sheet1"}</definedName>
    <definedName name="wrn.Print._.4." hidden="1">{"Outflow 1",#N/A,FALSE,"Outflows-Inflows";"Outflow 2",#N/A,FALSE,"Outflows-Inflows";"Inflow 1",#N/A,FALSE,"Outflows-Inflows";"Inflow 2",#N/A,FALSE,"Outflows-Inflows"}</definedName>
    <definedName name="wrn.Print._.6." hidden="1">{"print 1.6",#N/A,FALSE,"Sheet1";"print 2.6",#N/A,FALSE,"Sheet1";"print 3.6",#N/A,FALSE,"Sheet1";"print 4.6",#N/A,FALSE,"Sheet1";"print 5.6",#N/A,FALSE,"Sheet1";"print 6.6",#N/A,FALSE,"Sheet1"}</definedName>
    <definedName name="wrn.PRINT._.ALL." localSheetId="2" hidden="1">{#N/A,#N/A,FALSE,"Expense Detail ";#N/A,#N/A,FALSE,"Worksheet";#N/A,#N/A,FALSE,"Audit";#N/A,#N/A,FALSE,"Exclusions";#N/A,#N/A,FALSE,"Variance";#N/A,#N/A,FALSE,"Reconciliation"}</definedName>
    <definedName name="wrn.PRINT._.ALL." hidden="1">{#N/A,#N/A,FALSE,"Expense Detail ";#N/A,#N/A,FALSE,"Worksheet";#N/A,#N/A,FALSE,"Audit";#N/A,#N/A,FALSE,"Exclusions";#N/A,#N/A,FALSE,"Variance";#N/A,#N/A,FALSE,"Reconciliation"}</definedName>
    <definedName name="wrn.Print._.CRXLAND._.Openings." hidden="1">{"Print CRXLAND Assumptions",#N/A,FALSE,"CRXLAND Openings";"Print CRXLAND Openings",#N/A,FALSE,"CRXLAND Openings"}</definedName>
    <definedName name="wrn.Print._.Entire._.Workbook." hidden="1">{"Assumptions",#N/A,TRUE,"Assumptions";"qtrl1",#N/A,TRUE,"Annual Summary";"qtrl2",#N/A,TRUE,"Annual Summary";"qtrl3",#N/A,TRUE,"Annual Summary";"qtrl4",#N/A,TRUE,"QTLY Summary";"qtrl5",#N/A,TRUE,"QTLY Summary";"qtrl6",#N/A,TRUE,"QTLY Summary";"Lot Prices",#N/A,TRUE,"Annual Summary";"Construction Costs",#N/A,TRUE,"Annual Summary";"land1",#N/A,TRUE,"Annual Summary";"land2",#N/A,TRUE,"Annual Summary";"land3",#N/A,TRUE,"Annual Summary";"lot1",#N/A,TRUE,"Annual Summary";"lot2",#N/A,TRUE,"Annual Summary";"Lot3",#N/A,TRUE,"Annual Summary";"lot4",#N/A,TRUE,"Annual Summary";"lot5",#N/A,TRUE,"Annual Summary";"lot6",#N/A,TRUE,"Annual Summary";"lot7",#N/A,TRUE,"Annual Summary";"lot8",#N/A,TRUE,"Annual Summary";"lot9",#N/A,TRUE,"Annual Summary";"lot10",#N/A,TRUE,"Annual Summary";"lot11",#N/A,TRUE,"Annual Summary";"lot12",#N/A,TRUE,"Annual Summary";"lot inventory",#N/A,TRUE,"Annual Summary";"scen1",#N/A,TRUE,"Annual Summary";"scen2",#N/A,TRUE,"Annual Summary";"View1",#N/A,TRUE,"Annual Summary";"View2",#N/A,TRUE,"Annual Summary";"View3",#N/A,TRUE,"Annual Summary";"View4",#N/A,TRUE,"Annual Summary";"View5",#N/A,TRUE,"Annual Summary";"View6",#N/A,TRUE,"Annual Summary";"View7",#N/A,TRUE,"Annual Summary";"View8",#N/A,TRUE,"Annual Summary";"View9",#N/A,TRUE,"Annual Summary";"View10",#N/A,TRUE,"Annual Summary";"View11",#N/A,TRUE,"Annual Summary";"View12",#N/A,TRUE,"Annual Summary";"cot1",#N/A,TRUE,"Annual Summary";"cot2",#N/A,TRUE,"Annual Summary";"cot3",#N/A,TRUE,"Annual Summary"}</definedName>
    <definedName name="wrn.Print._.Everythin." hidden="1">{#N/A,#N/A,FALSE,"PRELIMINARY REVIEW";#N/A,#N/A,FALSE,"SOURCES AND USES OF FUNDS";#N/A,#N/A,FALSE,"COST ITEMS";#N/A,#N/A,FALSE,"DRAW SCHEDULE";#N/A,#N/A,FALSE,"STABILIZED OPERATING PROFORMA";#N/A,#N/A,FALSE,"LEASE UP OPERATING PROFORMA";#N/A,#N/A,FALSE,"INPUT SHEET"}</definedName>
    <definedName name="wrn.Print._.Everything." hidden="1">{"print annual inc. statement",#N/A,FALSE,"Summary";"print annual stats",#N/A,FALSE,"Summary";"print quarterly inc. statement",#N/A,FALSE,"Summary";"print quarterly stats",#N/A,FALSE,"Summary";"print STAY opening assumptions",#N/A,FALSE,"STAY Openings";"print STAY openings",#N/A,FALSE,"STAY Openings";"Print SPHI Assumptions",#N/A,FALSE,"SPHI Openings";"Print SPHI Openings",#N/A,FALSE,"SPHI Openings";"Print CRXLAND Assumptions",#N/A,FALSE,"CRXLAND Openings";"Print CRXLAND Openings",#N/A,FALSE,"CRXLAND Openings"}</definedName>
    <definedName name="wrn.print._.graphs." hidden="1">{"cap_structure",#N/A,FALSE,"Graph-Mkt Cap";"price",#N/A,FALSE,"Graph-Price";"ebit",#N/A,FALSE,"Graph-EBITDA";"ebitda",#N/A,FALSE,"Graph-EBITDA"}</definedName>
    <definedName name="wrn.Print._.Inc.._.Statement._.and._.Stats.." hidden="1">{"print annual inc. statement",#N/A,FALSE,"Summary";"print annual stats",#N/A,FALSE,"Summary";"print quarterly inc. statement",#N/A,FALSE,"Summary";"print quarterly stats",#N/A,FALSE,"Summary"}</definedName>
    <definedName name="wrn.print._.raw._.data._.entry." hidden="1">{"inputs raw data",#N/A,TRUE,"INPUT"}</definedName>
    <definedName name="wrn.Print._.Report." hidden="1">{"annual",#N/A,FALSE,"Sheet2";"quarters",#N/A,FALSE,"Sheet2"}</definedName>
    <definedName name="wrn.Print._.SPHI._.Openings." hidden="1">{"Print SPHI Assumptions",#N/A,FALSE,"SPHI Openings";"Print SPHI Openings",#N/A,FALSE,"SPHI Openings"}</definedName>
    <definedName name="wrn.print._.standalone." hidden="1">{"standalone1",#N/A,FALSE,"DCFBase";"standalone2",#N/A,FALSE,"DCFBase"}</definedName>
    <definedName name="wrn.Print._.STAY._.Openings." hidden="1">{"print STAY opening assumptions",#N/A,FALSE,"STAY Openings";"print STAY openings",#N/A,FALSE,"STAY Openings"}</definedName>
    <definedName name="wrn.print._.summary._.sheets." hidden="1">{"summary1",#N/A,TRUE,"Comps";"summary2",#N/A,TRUE,"Comps";"summary3",#N/A,TRUE,"Comps"}</definedName>
    <definedName name="wrn.Print._.Three._.Page._.Model." hidden="1">{"Page One",#N/A,FALSE,"Model";"Page 2",#N/A,FALSE,"Model";"Page 3",#N/A,FALSE,"Model"}</definedName>
    <definedName name="wrn.Print._1" hidden="1">{"View1",#N/A,FALSE,"Sheet1";"View2",#N/A,FALSE,"Sheet1"}</definedName>
    <definedName name="wrn.print_all." hidden="1">{#N/A,#N/A,FALSE,"property";#N/A,#N/A,FALSE,"tenants";#N/A,#N/A,FALSE,"capital";#N/A,#N/A,FALSE,"summary"}</definedName>
    <definedName name="wrn.Print_all_budget_schedules." localSheetId="2" hidden="1">{"budget",#N/A,TRUE,"P&amp;L";"budget",#N/A,TRUE,"Fixed_cost";"budget",#N/A,TRUE,"var_cost";"budget",#N/A,TRUE,"Cap_exp";"budget",#N/A,TRUE,"salaries";"budget",#N/A,TRUE,"sales_qty";"budget",#N/A,TRUE,"sales_value";"budget",#N/A,TRUE,"COS";"budget",#N/A,TRUE,"margin"}</definedName>
    <definedName name="wrn.Print_all_budget_schedules." hidden="1">{"budget",#N/A,TRUE,"P&amp;L";"budget",#N/A,TRUE,"Fixed_cost";"budget",#N/A,TRUE,"var_cost";"budget",#N/A,TRUE,"Cap_exp";"budget",#N/A,TRUE,"salaries";"budget",#N/A,TRUE,"sales_qty";"budget",#N/A,TRUE,"sales_value";"budget",#N/A,TRUE,"COS";"budget",#N/A,TRUE,"margin"}</definedName>
    <definedName name="wrn.Print_Budget." hidden="1">{"Print_Dev_Budget",#N/A,FALSE,"Budget";"Print_Dev_Footnotes",#N/A,FALSE,"Budget"}</definedName>
    <definedName name="wrn.Print_Buyer." hidden="1">{#N/A,"DR",FALSE,"increm pf";#N/A,"MAMSI",FALSE,"increm pf";#N/A,"MAXI",FALSE,"increm pf";#N/A,"PCAM",FALSE,"increm pf";#N/A,"PHSV",FALSE,"increm pf";#N/A,"SIE",FALSE,"increm pf"}</definedName>
    <definedName name="wrn.Print_details_fixed_cost." localSheetId="2" hidden="1">{"detailes",#N/A,FALSE,"Fixed_cost"}</definedName>
    <definedName name="wrn.Print_details_fixed_cost." hidden="1">{"detailes",#N/A,FALSE,"Fixed_cost"}</definedName>
    <definedName name="wrn.Print_details_var_cost." localSheetId="2" hidden="1">{"detailes",#N/A,FALSE,"var_cost"}</definedName>
    <definedName name="wrn.Print_details_var_cost." hidden="1">{"detailes",#N/A,FALSE,"var_cost"}</definedName>
    <definedName name="wrn.Print_foreign_curr_prices." localSheetId="2" hidden="1">{"foreign_curr_prices",#N/A,FALSE,"COS"}</definedName>
    <definedName name="wrn.Print_foreign_curr_prices." hidden="1">{"foreign_curr_prices",#N/A,FALSE,"COS"}</definedName>
    <definedName name="wrn.Print_Target.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_Unwind." hidden="1">{"Print_Unwind_Summary",#N/A,FALSE,"Unwind-A";"Print_Unwind_Monthly",#N/A,FALSE,"Unwind-A"}</definedName>
    <definedName name="wrn.print2." hidden="1">{"Assump",#N/A,TRUE,"Proforma";"first",#N/A,TRUE,"Proforma";"second",#N/A,TRUE,"Proforma";"lease1",#N/A,TRUE,"Proforma";"lease2",#N/A,TRUE,"Proforma"}</definedName>
    <definedName name="wrn.print5" hidden="1">{"Assump",#N/A,TRUE,"Proforma";"first",#N/A,TRUE,"Proforma";"second",#N/A,TRUE,"Proforma";"lease1",#N/A,TRUE,"Proforma";"lease2",#N/A,TRUE,"Proforma"}</definedName>
    <definedName name="wrn.PrintAll." hidden="1">{#N/A,#N/A,FALSE,"Broker Sheet";#N/A,#N/A,FALSE,"Exec.Summary";#N/A,#N/A,FALSE,"Argus Cash Flow";#N/A,#N/A,FALSE,"SPF";#N/A,#N/A,FALSE,"RentRoll"}</definedName>
    <definedName name="wrn.Printout." hidden="1">{#N/A,#N/A,FALSE,"Check Sheet";#N/A,#N/A,FALSE,"Summary";#N/A,#N/A,FALSE,"Property Input";#N/A,#N/A,FALSE,"Financing Input";#N/A,#N/A,FALSE,"Syndication Input";#N/A,#N/A,FALSE,"Assumptions";#N/A,#N/A,FALSE,"TOC";#N/A,#N/A,FALSE,"General Info";#N/A,#N/A,FALSE,"Financing";#N/A,#N/A,FALSE,"Syndication";"INCOME",#N/A,FALSE,"Income &amp; Expense";#N/A,#N/A,FALSE,"Rent Schedule";"CASH",#N/A,FALSE,"Cash Flow";#N/A,#N/A,FALSE,"Taxable";#N/A,#N/A,FALSE,"Loss per Investor";#N/A,#N/A,FALSE,"Sale Benefit";#N/A,#N/A,FALSE,"Sale Results";#N/A,#N/A,FALSE,"Sale Appreciation";#N/A,#N/A,FALSE,"Source &amp; Use";#N/A,#N/A,FALSE,"Flow of Funds";#N/A,#N/A,FALSE,"Dep Schedule";#N/A,#N/A,FALSE,"Tax Pref";"mort",#N/A,FALSE,"Mortgage 1";"amort2",#N/A,FALSE,"Mortgage 2";"acc1",#N/A,FALSE,"Accrual";"ACC2",#N/A,FALSE,"Accrual";#N/A,#N/A,FALSE,"Funded Exp";#N/A,#N/A,FALSE,"Tax Credit";#N/A,#N/A,FALSE,"IRR";"_704b",#N/A,FALSE,"704(b) ";#N/A,#N/A,FALSE,"Minimum Gain";"_7A",#N/A,FALSE,"704(b) Reallocation";"_7B",#N/A,FALSE,"704(b) Reallocation"}</definedName>
    <definedName name="wrn.Prints._.All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wrn.Prints._.All." localSheetId="2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wrn.Prints._.All.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wrn.Prints._.All._1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wrn.Proforma." localSheetId="2" hidden="1">{#N/A,#N/A,FALSE,"ExecSum";#N/A,#N/A,FALSE,"Summary";#N/A,#N/A,FALSE,"Budget";#N/A,#N/A,FALSE,"CashFlow"}</definedName>
    <definedName name="wrn.Proforma." hidden="1">{#N/A,#N/A,FALSE,"ExecSum";#N/A,#N/A,FALSE,"Summary";#N/A,#N/A,FALSE,"Budget";#N/A,#N/A,FALSE,"CashFlow"}</definedName>
    <definedName name="wrn.Proforma._.Review." hidden="1">{#N/A,#N/A,FALSE,"Occ and Rate";#N/A,#N/A,FALSE,"PF Input";#N/A,#N/A,FALSE,"Proforma Five Yr";#N/A,#N/A,FALSE,"Hotcomps"}</definedName>
    <definedName name="wrn.Program._.Compliance." hidden="1">{#N/A,#N/A,FALSE,"COMPLIANCE"}</definedName>
    <definedName name="wrn.Projections." hidden="1">{#N/A,#N/A,FALSE,"Release Price";#N/A,#N/A,FALSE,"Cash flow for 50 Unit";#N/A,#N/A,FALSE,"Cash Flow for 3 Models"}</definedName>
    <definedName name="wrn.Promote." hidden="1">{"Promote 1",#N/A,FALSE,"Promote";"Distributions",#N/A,FALSE,"Promote"}</definedName>
    <definedName name="wrn.PROPERTY._.AND._.EQUIP.." hidden="1">{#N/A,#N/A,FALSE,"M-1 Property and Equipment";#N/A,#N/A,FALSE,"M-2 Asset Additions";#N/A,#N/A,FALSE,"M-3 Property Disposals"}</definedName>
    <definedName name="wrn.PROPERTY._.AND._.EQUIP.._1" hidden="1">{#N/A,#N/A,FALSE,"M-1 Property and Equipment";#N/A,#N/A,FALSE,"M-2 Asset Additions";#N/A,#N/A,FALSE,"M-3 Property Disposals"}</definedName>
    <definedName name="wrn.Property._.Description." hidden="1">{#N/A,#N/A,FALSE,"PROP. DESCRIPTION"}</definedName>
    <definedName name="wrn.Property._.Description._1" hidden="1">{#N/A,#N/A,FALSE,"PROP. DESCRIPTION"}</definedName>
    <definedName name="wrn.PropertyInformation." hidden="1">{#N/A,#N/A,FALSE,"PropertyInfo"}</definedName>
    <definedName name="wrn.PSell_Out." hidden="1">{"PSell_Out",#N/A,FALSE,"PSell_Out"}</definedName>
    <definedName name="wrn.Pulp." hidden="1">{"Pulp Production",#N/A,FALSE,"Pulp";"Pulp Earnings",#N/A,FALSE,"Pulp"}</definedName>
    <definedName name="wrn.Pulp.2" hidden="1">{"Pulp Production",#N/A,FALSE,"Pulp";"Pulp Earnings",#N/A,FALSE,"Pulp"}</definedName>
    <definedName name="wrn.Pulp.3" hidden="1">{"Pulp Production",#N/A,FALSE,"Pulp";"Pulp Earnings",#N/A,FALSE,"Pulp"}</definedName>
    <definedName name="wrn.Quarterly._.Summary." hidden="1">{"qtrl1",#N/A,TRUE,"Annual Summary";"qtrl2",#N/A,TRUE,"Annual Summary";"qtrl3",#N/A,TRUE,"Annual Summary";"qtrl4",#N/A,TRUE,"QTLY Summary";"qtrl5",#N/A,TRUE,"QTLY Summary";"qtrl6",#N/A,TRUE,"QTLY Summary"}</definedName>
    <definedName name="wrn.QUICK." hidden="1">{"ASSUMPTIONS",#N/A,FALSE,"ASSUMPTIONS";"SOURCE USE",#N/A,FALSE,"SOURCE &amp; USE";"COMPLETION LEASEUP",#N/A,FALSE,"CO's &amp; LEASE-UP";"TAX CREDITS",#N/A,FALSE,"TAX CREDITS";"BASE NOI",#N/A,FALSE,"BASE NOI";"PROJECTED NOI",#N/A,FALSE,"PROJECTED NOI";"AMORTIZATION DEPREC",#N/A,FALSE,"AMORT &amp; DEPREC";"PROJECTED CASHFLOW",#N/A,FALSE,"CASH";"CAPITAL ACCT",#N/A,FALSE,"CAPITAL ACCOUNT";"TAXABLE INCOME",#N/A,FALSE,"TAXABLE";"ANNUAL BENEFITS",#N/A,FALSE,"ANNUAL BENEFITS";"QIRR ONE",#N/A,FALSE,"QIRR";"QIRR TWO",#N/A,FALSE,"QIRR"}</definedName>
    <definedName name="wrn.Quick._.Print." hidden="1">{"Pro Forma",#N/A,FALSE,"Prof";"Statistics",#N/A,FALSE,"Stats";"Incentive Fee Calc",#N/A,FALSE,"Incent"}</definedName>
    <definedName name="wrn.Quick._.View." hidden="1">{"Pro Forma",#N/A,FALSE,"Prof";"Statistics",#N/A,FALSE,"Stats";"Incentive Fee Calc",#N/A,FALSE,"Incent"}</definedName>
    <definedName name="wrn.Rapport." hidden="1">{#N/A,#N/A,FALSE,"SHEET1";#N/A,#N/A,FALSE,"SHEET2";#N/A,#N/A,FALSE,"SHEET3";#N/A,#N/A,FALSE,"SHEET4"}</definedName>
    <definedName name="wrn.rate." hidden="1">{"RATES",#N/A,FALSE,"RECOVERY RATES";"CONTRIBUTIONS",#N/A,FALSE,"RECOVERY RATES";"GLA CATEGORY SUMMARY",#N/A,FALSE,"RECOVERY RATES"}</definedName>
    <definedName name="wrn.RATES." hidden="1">{"RATES",#N/A,FALSE,"RECOVERY RATES";"CONTRIBUTIONS",#N/A,FALSE,"RECOVERY RATES";"GLA CATEGORY SUMMARY",#N/A,FALSE,"RECOVERY RATES"}</definedName>
    <definedName name="wrn.RECEIVABLES." hidden="1">{#N/A,#N/A,FALSE,"C-1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Statistics"}</definedName>
    <definedName name="wrn.RECEIVABLES._1" hidden="1">{#N/A,#N/A,FALSE,"C-1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Statistics"}</definedName>
    <definedName name="wrn.Recovery._.Calcs." hidden="1">{#N/A,#N/A,FALSE,"Recovery Calcs"}</definedName>
    <definedName name="wrn.Recovery._.Calcs._1" hidden="1">{#N/A,#N/A,FALSE,"Recovery Calcs"}</definedName>
    <definedName name="wrn.Relevant._.Sections." hidden="1">{#N/A,#N/A,FALSE,"Summary";#N/A,#N/A,FALSE,"Program Scheme";#N/A,#N/A,FALSE,"Assumptions";#N/A,#N/A,FALSE,"Development Budget";#N/A,#N/A,FALSE,"Timing";#N/A,#N/A,FALSE,"Development Costs &amp; Revenues";#N/A,#N/A,FALSE,"Cash Flow to Debt &amp; Equity"}</definedName>
    <definedName name="wrn.Rent._.Roll." hidden="1">{#N/A,#N/A,FALSE,"Rent Roll"}</definedName>
    <definedName name="wrn.Rent._.Roll._1" hidden="1">{#N/A,#N/A,FALSE,"Rent Roll"}</definedName>
    <definedName name="wrn.Rental._.Scenario." hidden="1">{#N/A,#N/A,TRUE,"Summary";#N/A,#N/A,TRUE,"Rental Summary";#N/A,#N/A,TRUE,"Budget";#N/A,#N/A,TRUE,"Assumptions";#N/A,#N/A,TRUE,"Financing"}</definedName>
    <definedName name="wrn.report" localSheetId="2" hidden="1">{#N/A,#N/A,FALSE,"Project Summary";#N/A,#N/A,FALSE,"Parameter Summary";#N/A,#N/A,FALSE,"Budget Control Report";#N/A,#N/A,FALSE,"DETAIL.XLS"}</definedName>
    <definedName name="wrn.report" hidden="1">{#N/A,#N/A,FALSE,"Project Summary";#N/A,#N/A,FALSE,"Parameter Summary";#N/A,#N/A,FALSE,"Budget Control Report";#N/A,#N/A,FALSE,"DETAIL.XLS"}</definedName>
    <definedName name="wrn.REPORT." localSheetId="2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wrn.Report._.Detail." hidden="1">{#N/A,#N/A,FALSE,"Recon of Schedules to BS";#N/A,#N/A,FALSE,"Reconciliation";#N/A,#N/A,FALSE,"Summary";#N/A,#N/A,FALSE,"Recon of GenLedg to Detail";#N/A,#N/A,FALSE,"Atlanta";#N/A,#N/A,FALSE,"Columbia";#N/A,#N/A,FALSE,"Greensboro - Winston-Salem";#N/A,#N/A,FALSE,"Memphis";#N/A,#N/A,FALSE,"Nashville";#N/A,#N/A,FALSE,"Raleigh";#N/A,#N/A,FALSE,"Richmond"}</definedName>
    <definedName name="wrn.REPORT._.FOR._.CCA." hidden="1">{"CCA",#N/A,FALSE,"INPUT";"Pricing","CCA",FALSE,"Pricing";"Rent","CCA",FALSE,"Rent,Exp";"Fund Flow",#N/A,FALSE,"Fund Flow"}</definedName>
    <definedName name="wrn.REPORT._.FOR._.FA." hidden="1">{"Report for FA","FA",FALSE,"Benefits"}</definedName>
    <definedName name="wrn.REPORT._.FOR._.LUS." hidden="1">{#N/A,#N/A,FALSE,"LeaseData";"Rent",#N/A,FALSE,"Rent,Exp"}</definedName>
    <definedName name="wrn.Report._.Tables." hidden="1">{"Penetration Analysis",#N/A,FALSE,"Comp.&amp; Market Penet.";"ADR Analysis",#N/A,FALSE,"Comp.&amp; Market Penet.";"New Supply",#N/A,FALSE,"Comp.&amp; Market Penet.";"MArket Occupancy",#N/A,FALSE,"Comp.&amp; Market Penet.";"Primarily Competition",#N/A,FALSE,"Comp.&amp; Market Penet."}</definedName>
    <definedName name="wrn.report.Irr" hidden="1">{#N/A,#N/A,FALSE,"Loan Summary";#N/A,#N/A,FALSE,"NOI";"RR and Expir",#N/A,FALSE,"Rental";"Sales History",#N/A,FALSE,"Rental";#N/A,#N/A,FALSE,"Reserves"}</definedName>
    <definedName name="wrn.Report1" hidden="1">{#N/A,#N/A,FALSE,"Loan Summary";#N/A,#N/A,FALSE,"NOI";"RR and Expir",#N/A,FALSE,"Rental";"Sales History",#N/A,FALSE,"Rental";#N/A,#N/A,FALSE,"Reserves"}</definedName>
    <definedName name="wrn.Report1.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5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wrn.reports." localSheetId="2" hidden="1">{#N/A,#N/A,FALSE,"Project Summary";#N/A,#N/A,FALSE,"Parameter Summary";#N/A,#N/A,FALSE,"Budget Control Report";#N/A,#N/A,FALSE,"DETAIL.XLS"}</definedName>
    <definedName name="wrn.reports." hidden="1">{#N/A,#N/A,FALSE,"Project Summary";#N/A,#N/A,FALSE,"Parameter Summary";#N/A,#N/A,FALSE,"Budget Control Report";#N/A,#N/A,FALSE,"DETAIL.XLS"}</definedName>
    <definedName name="wrn.Retail." hidden="1">{"Retail",#N/A,FALSE,"Retail"}</definedName>
    <definedName name="wrn.rollup." hidden="1">{"page1",#N/A,FALSE,"rollup"}</definedName>
    <definedName name="wrn.rpt96." hidden="1">{"rmrev1",#N/A,FALSE,"Forecast96";"rmrev2",#N/A,FALSE,"Forecast96";"rmrev3",#N/A,FALSE,"Forecast96"}</definedName>
    <definedName name="wrn.RRDOMINION._.TOWER." hidden="1">{#N/A,#N/A,FALSE,"Title Pg.- Summary of Rent Roll";#N/A,#N/A,FALSE,"SUMMARY OF RENT ROLL";#N/A,#N/A,FALSE,"SUMMARY OF FLOOR AREAS";#N/A,#N/A,FALSE,"Title Pg. - Rent Roll";#N/A,#N/A,FALSE,"RETAIL SECTION";#N/A,#N/A,FALSE,"OFFICES";#N/A,#N/A,FALSE,"STORAGE";#N/A,#N/A,FALSE,"MISCELLANEOUS";#N/A,#N/A,FALSE,"Title Pg.Rental Income Analysis";#N/A,#N/A,FALSE,"RENTAL INCOME ANALYSIS";#N/A,#N/A,FALSE,"Title Pg.-Lease Expirations";#N/A,#N/A,FALSE,"LEASE EXPIRATIONS"}</definedName>
    <definedName name="wrn.RV._.SAR." hidden="1">{#N/A,#N/A,FALSE,"COVER";#N/A,#N/A,FALSE,"WEEKLY SUMMARY";"RiverView I",#N/A,FALSE,"EAST TOWER";#N/A,#N/A,FALSE,"WEST TOWER";"Parking",#N/A,FALSE,"EAST TOWER"}</definedName>
    <definedName name="wrn.Scenario." hidden="1">{"scen1",#N/A,FALSE,"Scenarios";"scen2",#N/A,FALSE,"Scenarios"}</definedName>
    <definedName name="wrn.SCHAs." hidden="1">{"ACCOUNTING COPY",#N/A,FALSE,"SCHEDULE A";"FINANCE COPY",#N/A,FALSE,"SCHEDULE A";"P.L. COPY",#N/A,FALSE,"SCHEDULE A"}</definedName>
    <definedName name="wrn.schas2" hidden="1">{"ACCOUNTING COPY",#N/A,FALSE,"SCHEDULE A";"FINANCE COPY",#N/A,FALSE,"SCHEDULE A";"P.L. COPY",#N/A,FALSE,"SCHEDULE A"}</definedName>
    <definedName name="wrn.SCHEDULE" localSheetId="2" hidden="1">{"SCHEDULE",#N/A,FALSE,"Fin_sched"}</definedName>
    <definedName name="wrn.SCHEDULE" hidden="1">{"SCHEDULE",#N/A,FALSE,"Fin_sched"}</definedName>
    <definedName name="wrn.SCHEDULE." localSheetId="2" hidden="1">{"SCHEDULE",#N/A,FALSE,"Fin_sched"}</definedName>
    <definedName name="wrn.SCHEDULE." hidden="1">{"SCHEDULE",#N/A,FALSE,"Fin_sched"}</definedName>
    <definedName name="wrn.SCHEDULE._.H." hidden="1">{"ACCOUNT DETAIL",#N/A,FALSE,"SCHEDULE E";"ACCOUNT DETAIL",#N/A,FALSE,"SCHEDULE G";"ACCOUNT DETAIL",#N/A,FALSE,"SCHEDULE H";"ACCOUNT DETAIL",#N/A,FALSE,"SCHEDULE I"}</definedName>
    <definedName name="wrn.scheduleA." hidden="1">{"scheduleA",#N/A,FALSE,"CTT_CLO"}</definedName>
    <definedName name="wrn.scheduleB." hidden="1">{"scheduleB",#N/A,FALSE,"CTT_CLO"}</definedName>
    <definedName name="wrn.scheduleEF." hidden="1">{"scheduleEF",#N/A,FALSE,"CTT_CLO"}</definedName>
    <definedName name="wrn.scheduleF." hidden="1">{"scheduleF",#N/A,FALSE,"CTT_CLO"}</definedName>
    <definedName name="wrn.schedules." hidden="1">{"schedules",#N/A,FALSE,"CTT_CLO";"scheduleA",#N/A,FALSE,"CTT_CLO";"scheduleB",#N/A,FALSE,"CTT_CLO";"scheduleCD",#N/A,FALSE,"CTT_CLO";"scheduleEF",#N/A,FALSE,"CTT_CLO"}</definedName>
    <definedName name="wrn.SCHEDULES._.ABC." hidden="1">{#N/A,#N/A,FALSE,"SCHEDULE A";"MINIMUM RENT",#N/A,FALSE,"SCHEDULES B &amp; C";"PERCENTAGE RENT",#N/A,FALSE,"SCHEDULES B &amp; C"}</definedName>
    <definedName name="wrn.seafirst." hidden="1">{#N/A,#N/A,FALSE,"Project Summary";#N/A,#N/A,FALSE,"Master Developer Cash Flow";#N/A,#N/A,FALSE,"Parking Budget";#N/A,#N/A,FALSE,"Parking Cash Flow2";#N/A,#N/A,FALSE,"Parking Assumptions";#N/A,#N/A,FALSE,"Bond Structure - Lease";#N/A,#N/A,FALSE,"Retail Development Budget";#N/A,#N/A,FALSE,"Retail Cash Flow";#N/A,#N/A,FALSE,"Retail Assumptions Summary";#N/A,#N/A,FALSE,"Retail Income Assumptions";#N/A,#N/A,FALSE,"Retail % Rent";#N/A,#N/A,FALSE,"Retail Debt Service";#N/A,#N/A,FALSE,"Office Development Budget";#N/A,#N/A,FALSE,"Office Cash Flow";#N/A,#N/A,FALSE,"Office Assumptions";#N/A,#N/A,FALSE,"Office Debt Service";#N/A,#N/A,FALSE,"Hotel Development Budget";#N/A,#N/A,FALSE,"Hotel Cash Flow";#N/A,#N/A,FALSE,"Hotel Assumptions";#N/A,#N/A,FALSE,"Hotel Debt Service"}</definedName>
    <definedName name="wrn.Secondary._.Competition." hidden="1">{#N/A,#N/A,FALSE,"Secondary"}</definedName>
    <definedName name="wrn.Short." hidden="1">{#N/A,#N/A,FALSE,"ExecutiveSummary";#N/A,#N/A,FALSE,"CostDetail";#N/A,#N/A,FALSE,"IncomeDetail"}</definedName>
    <definedName name="wrn.Short._.Print." hidden="1">{#N/A,#N/A,FALSE,"Cover";#N/A,#N/A,FALSE,"Stack";#N/A,#N/A,FALSE,"Cost S";#N/A,#N/A,FALSE," CF";#N/A,#N/A,FALSE,"Investor"}</definedName>
    <definedName name="wrn.Side._.by._.Side." hidden="1">{"Side 99",#N/A,FALSE,"S&amp;U Side by Side"}</definedName>
    <definedName name="wrn.SKSCS1." hidden="1">{#N/A,#N/A,FALSE,"Antony Financials";#N/A,#N/A,FALSE,"Cowboy Financials";#N/A,#N/A,FALSE,"Combined";#N/A,#N/A,FALSE,"Valuematrix";#N/A,#N/A,FALSE,"DCFAntony";#N/A,#N/A,FALSE,"DCFCowboy";#N/A,#N/A,FALSE,"DCFCombined"}</definedName>
    <definedName name="wrn.Sources._.and._.Uses._.Analysis." hidden="1">{#N/A,#N/A,FALSE,"Key Drivers";#N/A,#N/A,FALSE,"S&amp;U";#N/A,#N/A,FALSE,"Flow of Funds";#N/A,#N/A,FALSE,"Wire Instructions";#N/A,#N/A,FALSE,"Refi S&amp;U";#N/A,#N/A,FALSE,"S&amp;U Fees";#N/A,#N/A,FALSE,"Waterfall";#N/A,#N/A,FALSE,"Sr Mezz Worksheet";#N/A,#N/A,FALSE,"Reserve Need";#N/A,#N/A,FALSE,"DS Projection";#N/A,#N/A,FALSE,"Hel Prepay Assumption";#N/A,#N/A,FALSE,"Sale Work Sheet"}</definedName>
    <definedName name="wrn.Stadium._.PCD." localSheetId="2" hidden="1">{#N/A,#N/A,TRUE,"Ericsson Stadium PCD ";#N/A,#N/A,TRUE,"Ericsson Stadium IOR"}</definedName>
    <definedName name="wrn.Stadium._.PCD." hidden="1">{#N/A,#N/A,TRUE,"Ericsson Stadium PCD ";#N/A,#N/A,TRUE,"Ericsson Stadium IOR"}</definedName>
    <definedName name="wrn.STAND_ALONE_BOTH." hidden="1">{"FCB_ALL",#N/A,FALSE,"FCB";"GREY_ALL",#N/A,FALSE,"GREY"}</definedName>
    <definedName name="wrn.Stand_alone_both._dcf" hidden="1">{"FCB_ALL",#N/A,FALSE,"FCB";"GREY_ALL",#N/A,FALSE,"GREY"}</definedName>
    <definedName name="wrn.Standard._.Report." hidden="1">{#N/A,#N/A,FALSE,"Summary";#N/A,#N/A,FALSE,"Construction";#N/A,#N/A,FALSE,"Cash Flow"}</definedName>
    <definedName name="wrn.Standard._.Reports." hidden="1">{"Const_Monthly",#N/A,FALSE,"Construction";"Construction_Summary",#N/A,FALSE,"Construction";"Cash_Flow",#N/A,FALSE,"Cash Flow";"Summary",#N/A,FALSE,"Summary";"Finsumm",#N/A,FALSE,"Summary Analysis";"Loanrecap",#N/A,FALSE,"Construction"}</definedName>
    <definedName name="wrn.STOCKHOLDERS._.EQUITY." hidden="1">{#N/A,#N/A,FALSE,"WW-1 Stockholders' Equity"}</definedName>
    <definedName name="wrn.STOCKHOLDERS._.EQUITY._1" hidden="1">{#N/A,#N/A,FALSE,"WW-1 Stockholders' Equity"}</definedName>
    <definedName name="wrn.Strengths._.Weaknesses." hidden="1">{#N/A,#N/A,FALSE,"Strengths &amp; Weaknesses"}</definedName>
    <definedName name="wrn.Strengths._.Weaknesses._1" hidden="1">{#N/A,#N/A,FALSE,"Strengths &amp; Weaknesses"}</definedName>
    <definedName name="wrn.Structural._.Frame." localSheetId="2" hidden="1">{"structural",#N/A,FALSE,"DETAIL.XLS"}</definedName>
    <definedName name="wrn.Structural._.Frame." hidden="1">{"structural",#N/A,FALSE,"DETAIL.XLS"}</definedName>
    <definedName name="wrn.SUM._.ONLY." localSheetId="2" hidden="1">{"SUMMARY",#N/A,FALSE,"BIDSUM"}</definedName>
    <definedName name="wrn.SUM._.ONLY." hidden="1">{"SUMMARY",#N/A,FALSE,"BIDSUM"}</definedName>
    <definedName name="wrn.SUM._.WITH._.GC." localSheetId="2" hidden="1">{"SUMMARY",#N/A,FALSE,"BIDSUM";"SUMALTS",#N/A,FALSE,"BIDSUM";#N/A,#N/A,FALSE,"GCOND"}</definedName>
    <definedName name="wrn.SUM._.WITH._.GC." hidden="1">{"SUMMARY",#N/A,FALSE,"BIDSUM";"SUMALTS",#N/A,FALSE,"BIDSUM";#N/A,#N/A,FALSE,"GCOND"}</definedName>
    <definedName name="wrn.Summaries." hidden="1">{#N/A,#N/A,FALSE,"Summaries &amp; NOI Compare";#N/A,#N/A,FALSE,"Consolidate Portfolio";#N/A,#N/A,FALSE,"Consolidate TERA";#N/A,#N/A,FALSE,"Consolidate II";#N/A,#N/A,FALSE,"Consolidate IV";#N/A,#N/A,FALSE,"Consolidate II &amp; IV";#N/A,#N/A,FALSE,"Consolidate V";#N/A,#N/A,FALSE,"2001 PortSum";#N/A,#N/A,FALSE,"2001 Summary";#N/A,#N/A,FALSE,"2002 PortSum";#N/A,#N/A,FALSE,"2002 Summary";#N/A,#N/A,FALSE,"2003 PortSum";#N/A,#N/A,FALSE,"2003 Summary";#N/A,#N/A,FALSE,"2004 Budg PortSum";#N/A,#N/A,FALSE,"2004 Budg Summ";#N/A,#N/A,FALSE,"Econ Occupancy"}</definedName>
    <definedName name="wrn.SUMMARY." localSheetId="2" hidden="1">{"SUMMARY",#N/A,FALSE,"Fin_sched"}</definedName>
    <definedName name="wrn.SUMMARY." hidden="1">{"SUMMARY",#N/A,FALSE,"Fin_sched"}</definedName>
    <definedName name="wrn.Summary._.and._.Budget." hidden="1">{#N/A,#N/A,TRUE,"Summary";#N/A,#N/A,TRUE,"Budget"}</definedName>
    <definedName name="wrn.Summary._.Budget._.Assumptions." hidden="1">{#N/A,#N/A,TRUE,"Summary";#N/A,#N/A,TRUE,"Budget";#N/A,#N/A,TRUE,"Assumptions"}</definedName>
    <definedName name="wrn.Summary._.Budget._.Stack._.Assumptions." hidden="1">{#N/A,#N/A,TRUE,"Summary";#N/A,#N/A,TRUE,"Budget";#N/A,#N/A,TRUE,"Stack";#N/A,#N/A,TRUE,"Assumptions"}</definedName>
    <definedName name="wrn.Summary._.Excluding._.DHC." hidden="1">{"Summary Excluding DHC",#N/A,FALSE,"SUMMARY"}</definedName>
    <definedName name="wrn.Summary._.Including._.DHC." hidden="1">{"Summary Including DHC",#N/A,FALSE,"SUMMARY"}</definedName>
    <definedName name="wrn.Summary._.Overview." hidden="1">{#N/A,#N/A,FALSE,"OVERVIEW"}</definedName>
    <definedName name="wrn.Summary._.Schedule." hidden="1">{#N/A,#N/A,FALSE,"Smry1";#N/A,#N/A,FALSE,"Smry2";#N/A,#N/A,FALSE,"Finance Cash Flow"}</definedName>
    <definedName name="wrn.Summary._.Sheets." hidden="1">{#N/A,#N/A,FALSE,"CSum";#N/A,#N/A,FALSE,"GSum";#N/A,#N/A,FALSE,"USum";#N/A,#N/A,FALSE,"LSum";#N/A,#N/A,FALSE,"NSum";#N/A,#N/A,FALSE,"SSum"}</definedName>
    <definedName name="wrn.SummaryPgs." hidden="1">{#N/A,#N/A,FALSE,"CreditStat";#N/A,#N/A,FALSE,"SPbrkup";#N/A,#N/A,FALSE,"MerSPsyn";#N/A,#N/A,FALSE,"MerSPwKCsyn";#N/A,#N/A,FALSE,"MerSPwKCsyn (2)";#N/A,#N/A,FALSE,"CreditStat (2)"}</definedName>
    <definedName name="wrn.SunModel." hidden="1">{#N/A,#N/A,FALSE,"summary";#N/A,#N/A,FALSE,"SIH";#N/A,#N/A,FALSE,"SIH Value";#N/A,#N/A,FALSE,"tax est.";#N/A,#N/A,FALSE,"Mohegan";#N/A,#N/A,FALSE,"Resorts";#N/A,#N/A,FALSE,"Win Per Day";#N/A,#N/A,FALSE,"CapStr"}</definedName>
    <definedName name="wrn.Supply._.Additions." hidden="1">{#N/A,#N/A,FALSE,"Supply Addn"}</definedName>
    <definedName name="wrn.surveillance." hidden="1">{#N/A,#N/A,FALSE,"DELQ";#N/A,#N/A,FALSE,"REO";#N/A,#N/A,FALSE,"WATCHDSC";#N/A,#N/A,FALSE,"2LOSSMOD";#N/A,#N/A,FALSE,"2LOSS";#N/A,#N/A,FALSE,"DSC";#N/A,#N/A,FALSE,"OPERAT";#N/A,#N/A,FALSE,"ADJUST";#N/A,#N/A,FALSE,"PAIDOFF";#N/A,#N/A,FALSE,"TENANT";#N/A,#N/A,FALSE,"LEASE EXPIRE"}</definedName>
    <definedName name="wrn.Syndication." hidden="1">{#N/A,#N/A,FALSE,"Assumptions";"Section 1",#N/A,FALSE,"SYNDICATION MODEL";"Section 2",#N/A,FALSE,"SYNDICATION MODEL";#N/A,#N/A,FALSE,"Input Sheet";#N/A,#N/A,FALSE,"SYNDICATION ROE"}</definedName>
    <definedName name="wrn.Target._.Comparison." hidden="1">{"Target Comparison",#N/A,FALSE,"Summary"}</definedName>
    <definedName name="wrn.TAXATION." hidden="1">{#N/A,#N/A,FALSE,"JJ-1 Reg. Tax";#N/A,#N/A,FALSE,"JJ-2 Tax Jnl. Entry";#N/A,#N/A,FALSE,"JJ-3 Alt Min. Tax";#N/A,#N/A,FALSE,"JJ-4 Tax Checklist";#N/A,#N/A,FALSE,"KK-1 Def. Tax";#N/A,#N/A,FALSE,"KK-2 Rate Recon.";#N/A,#N/A,FALSE,"0800-2 Income Tax Provision";#N/A,#N/A,FALSE,"0800-3 Income Tax Provision H&amp;L"}</definedName>
    <definedName name="wrn.TAXATION._1" hidden="1">{#N/A,#N/A,FALSE,"JJ-1 Reg. Tax";#N/A,#N/A,FALSE,"JJ-2 Tax Jnl. Entry";#N/A,#N/A,FALSE,"JJ-3 Alt Min. Tax";#N/A,#N/A,FALSE,"JJ-4 Tax Checklist";#N/A,#N/A,FALSE,"KK-1 Def. Tax";#N/A,#N/A,FALSE,"KK-2 Rate Recon.";#N/A,#N/A,FALSE,"0800-2 Income Tax Provision";#N/A,#N/A,FALSE,"0800-3 Income Tax Provision H&amp;L"}</definedName>
    <definedName name="wrn.taxes." hidden="1">{"taxes",#N/A,FALSE,"CTT_CLO"}</definedName>
    <definedName name="wrn.Taxes._.Title._.Insurance" hidden="1">{#N/A,#N/A,FALSE,"Taxes, Insurance, Title"}</definedName>
    <definedName name="wrn.Taxes._.Title._.Insurance." hidden="1">{#N/A,#N/A,FALSE,"Taxes, Insurance, Title"}</definedName>
    <definedName name="wrn.Taxes._.Title._.Insurance._1" hidden="1">{#N/A,#N/A,FALSE,"Taxes, Insurance, Title"}</definedName>
    <definedName name="wrn.Template." hidden="1">{#N/A,#N/A,FALSE,"1_Executive Summary";#N/A,#N/A,FALSE,"2_Assumptions";#N/A,#N/A,FALSE,"3_Footnotes";#N/A,#N/A,FALSE,"4_Cash Flow";#N/A,#N/A,FALSE,"6_Residual - Marketing";#N/A,#N/A,FALSE,"7_Residual Matrix";#N/A,#N/A,FALSE,"8_Pricing Matrix";#N/A,#N/A,FALSE,"9_Value Matrix";#N/A,#N/A,FALSE,"10_Vacancy Detail";#N/A,#N/A,FALSE,"11_Basic Expiration"}</definedName>
    <definedName name="wrn.Tenants." hidden="1">{#N/A,#N/A,FALSE,"TENANTS"}</definedName>
    <definedName name="wrn.test." localSheetId="2" hidden="1">{"budget",#N/A,FALSE,"salaries"}</definedName>
    <definedName name="wrn.test." hidden="1">{"budget",#N/A,FALSE,"salaries"}</definedName>
    <definedName name="wrn.Test2." hidden="1">{"CoverSheet 97",#N/A,TRUE,"97CoverPage";"CY 1997",#N/A,TRUE,"97TableOfContents";"CY 1997",#N/A,TRUE,"97CashFlowBeforeFinancing"}</definedName>
    <definedName name="wrn.THR._.Budget." hidden="1">{"7-Year Pro Forma",#N/A,FALSE,"Prof";"Statistics",#N/A,FALSE,"Stats"}</definedName>
    <definedName name="wrn.TOCHTERMAN." hidden="1">{#N/A,#N/A,FALSE,"Project Summary";#N/A,#N/A,FALSE,"Parking Budget";#N/A,#N/A,FALSE,"Parking Cash Flow";#N/A,#N/A,FALSE,"Parking Assumptions";#N/A,#N/A,FALSE,"Bond Debt Service";#N/A,#N/A,FALSE,"Pad Fees";#N/A,#N/A,FALSE,"Bond Shortfall";#N/A,#N/A,FALSE,"Retail Development Budget";#N/A,#N/A,FALSE,"Retail Cash Flow";#N/A,#N/A,FALSE,"Retail Assumptions Summary";#N/A,#N/A,FALSE,"Office Development Budget";#N/A,#N/A,FALSE,"Office Cash Flow";#N/A,#N/A,FALSE,"Office Assumptions";#N/A,#N/A,FALSE,"Hotel Development Budget";#N/A,#N/A,FALSE,"Hotel Cash Flow";#N/A,#N/A,FALSE,"Land Lease NPV"}</definedName>
    <definedName name="wrn.TOT." localSheetId="2" hidden="1">{#N/A,#N/A,FALSE,"P&amp;L";#N/A,#N/A,FALSE,"Var_Fixed_cost"}</definedName>
    <definedName name="wrn.TOT." hidden="1">{#N/A,#N/A,FALSE,"P&amp;L";#N/A,#N/A,FALSE,"Var_Fixed_cost"}</definedName>
    <definedName name="wrn.TOT._2" localSheetId="2" hidden="1">{#N/A,#N/A,FALSE,"P&amp;L";#N/A,#N/A,FALSE,"Var_Fixed_cost"}</definedName>
    <definedName name="wrn.TOT._2" hidden="1">{#N/A,#N/A,FALSE,"P&amp;L";#N/A,#N/A,FALSE,"Var_Fixed_cost"}</definedName>
    <definedName name="wrn.TOT1." localSheetId="2" hidden="1">{#N/A,#N/A,FALSE,"P&amp;L";#N/A,#N/A,FALSE,"Var_Fixed_cost"}</definedName>
    <definedName name="wrn.TOT1." hidden="1">{#N/A,#N/A,FALSE,"P&amp;L";#N/A,#N/A,FALSE,"Var_Fixed_cost"}</definedName>
    <definedName name="wrn.Total.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.closing." hidden="1">{"page1",#N/A,FALSE,"CTT_CLO";"page2",#N/A,FALSE,"CTT_CLO";"schedules",#N/A,FALSE,"CTT_CLO";"scheduleA",#N/A,FALSE,"CTT_CLO";"scheduleBC",#N/A,FALSE,"CTT_CLO";"scheduleDE",#N/A,FALSE,"CTT_CLO";"scheduleF",#N/A,FALSE,"CTT_CLO"}</definedName>
    <definedName name="wrn.TOTAL._.SHEETS." hidden="1">{#N/A,#N/A,FALSE,"DEV COSTS";#N/A,#N/A,FALSE,"10-YR C. F."}</definedName>
    <definedName name="wrn.TOTAL._.SHEETS5" hidden="1">{#N/A,#N/A,FALSE,"DEV COSTS";#N/A,#N/A,FALSE,"10-YR C. F."}</definedName>
    <definedName name="wrn.Total5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s." hidden="1">{"Total Conn",#N/A,FALSE,"Sun CT Properties";"Total Sun",#N/A,FALSE,"Sun Portfolio";"Total SNF",#N/A,FALSE,"Sun SNFs";"Total Hospitals",#N/A,FALSE,"Sun Hospitals";"Total Bev",#N/A,FALSE,"S01 Beverly";"Total S02",#N/A,FALSE,"S02 Boston";"Total S03",#N/A,FALSE,"S03 Bowling Green";"Total S04",#N/A,FALSE,"S04 Bradenton";"Total S05",#N/A,FALSE,"S05 Bristol";"Total S06",#N/A,FALSE,"S06 Brookline";"Total S07",#N/A,FALSE,"S07 Camden";"Total S08",#N/A,FALSE,"S08 Concord";"Total S09",#N/A,FALSE,"S09 South Conn";"Total S10",#N/A,FALSE,"S10 Danbury";"Total S11",#N/A,FALSE,"S11 Darien";"Total S12",#N/A,FALSE,"S12 Denver";"Total S13",#N/A,FALSE,"S13 East Longmeadow";"Total S14",#N/A,FALSE,"S14 Holyoke";"Total S15",#N/A,FALSE,"S15 Lexington";"Total S16",#N/A,FALSE,"S16 Lowell";"Total S17",#N/A,FALSE,"S17 Marlton";"Total S18",#N/A,FALSE,"S18 Milford";"Total S19",#N/A,FALSE,"S19 Millbury";"Total S20",#N/A,FALSE,"S20 Montgomery";"Total S21",#N/A,FALSE,"S21 New Bedford";"Total S22",#N/A,FALSE,"S22 Newington";"Total S23",#N/A,FALSE,"S23 Northshore";"Total S24",#N/A,FALSE,"S24 Northampton";"Total S25",#N/A,FALSE,"S25 Oradell";"Total S26",#N/A,FALSE,"S26 Peabody";"Total S27",#N/A,FALSE,"S27 Randolph";"Total S28",#N/A,FALSE,"S28 San Joaquin";"Total S29",#N/A,FALSE,"S29 Southbury";"Total S30",#N/A,FALSE,"S30 Stamford";"Total S31",#N/A,FALSE,"S31 Westport";"Total S32",#N/A,FALSE,"S32 Wethersfield";"Total S33",#N/A,FALSE,"S33 Weymouth";"Total S34",#N/A,FALSE,"S34 Wilmington Woods";"Total S35",#N/A,FALSE,"S35 Woodcrest";"Total S36",#N/A,FALSE,"S36 Cheshire";"Total S37",#N/A,FALSE,"S37 Kentfield";"Total S38",#N/A,FALSE,"S38 Newton"}</definedName>
    <definedName name="wrn.toto." hidden="1">{"tableau a",#N/A,FALSE,"Feuil3";"tableau b",#N/A,FALSE,"Feuil3"}</definedName>
    <definedName name="wrn.toto.2" hidden="1">{"tableau a",#N/A,FALSE,"Feuil3";"tableau b",#N/A,FALSE,"Feuil3"}</definedName>
    <definedName name="wrn.Tweety." hidden="1">{#N/A,#N/A,FALSE,"A&amp;E";#N/A,#N/A,FALSE,"HighTop";#N/A,#N/A,FALSE,"JG";#N/A,#N/A,FALSE,"RI";#N/A,#N/A,FALSE,"woHT";#N/A,#N/A,FALSE,"woHT&amp;JG"}</definedName>
    <definedName name="wrn.Tycon._.Model." hidden="1">{"rtn",#N/A,FALSE,"RTN";"tables",#N/A,FALSE,"RTN";"cf",#N/A,FALSE,"CF";"stats",#N/A,FALSE,"Stats";"prop",#N/A,FALSE,"Prop"}</definedName>
    <definedName name="wrn.Underwriting._.Analysis." hidden="1">{#N/A,#N/A,FALSE,"Underwriting Analysis"}</definedName>
    <definedName name="wrn.Underwriting._.Analysis._1" hidden="1">{#N/A,#N/A,FALSE,"Underwriting Analysis"}</definedName>
    <definedName name="wrn.USSC_Reports." hidden="1">{#N/A,#N/A,FALSE,"9Pricing Matrix";#N/A,#N/A,FALSE,"1Summary";#N/A,#N/A,FALSE,"2Assumptions";#N/A,#N/A,FALSE,"3Cash Flow";#N/A,#N/A,FALSE,"5Residual";#N/A,#N/A,FALSE,"Occupancy Cost";#N/A,#N/A,FALSE,"7Financing Sensitivity";#N/A,#N/A,FALSE,"8Residual Sensitivity";#N/A,#N/A,FALSE,"10Vacancy Matrix";#N/A,#N/A,FALSE,"11Expiration Schedule";#N/A,#N/A,FALSE,"12Lease-up Schedule";#N/A,#N/A,FALSE,"OFS-Lease-up Schedule";#N/A,#N/A,FALSE,"Short Holds"}</definedName>
    <definedName name="wrn.valuation." hidden="1">{"Page1",#N/A,FALSE,"7979";"Page2",#N/A,FALSE,"7979";"Page3",#N/A,FALSE,"7979"}</definedName>
    <definedName name="wrn.Value." localSheetId="2" hidden="1">{#N/A,#N/A,FALSE,"Cashflow Analysis";#N/A,#N/A,FALSE,"Sensitivity Analysis";#N/A,#N/A,FALSE,"PV";#N/A,#N/A,FALSE,"Pro Forma"}</definedName>
    <definedName name="wrn.Value." hidden="1">{#N/A,#N/A,FALSE,"Cashflow Analysis";#N/A,#N/A,FALSE,"Sensitivity Analysis";#N/A,#N/A,FALSE,"PV";#N/A,#N/A,FALSE,"Pro Forma"}</definedName>
    <definedName name="wrn.Value.2" hidden="1">{#N/A,#N/A,FALSE,"Cashflow Analysis";#N/A,#N/A,FALSE,"Sensitivity Analysis";#N/A,#N/A,FALSE,"PV";#N/A,#N/A,FALSE,"Pro Forma"}</definedName>
    <definedName name="wrn.Variance." localSheetId="2" hidden="1">{#N/A,#N/A,FALSE,"CCC Variance";#N/A,#N/A,FALSE,"CCC Notes"}</definedName>
    <definedName name="wrn.Variance." hidden="1">{#N/A,#N/A,FALSE,"CCC Variance";#N/A,#N/A,FALSE,"CCC Notes"}</definedName>
    <definedName name="wrn.Variance._.Worksheet." localSheetId="2" hidden="1">{#N/A,#N/A,FALSE,"VARSTRIP"}</definedName>
    <definedName name="wrn.Variance._.Worksheet." hidden="1">{#N/A,#N/A,FALSE,"VARSTRIP"}</definedName>
    <definedName name="wrn.ventana." hidden="1">{#N/A,#N/A,FALSE,"Cash Flow";#N/A,#N/A,FALSE,"scenario 1"}</definedName>
    <definedName name="wrn.weekly." hidden="1">{#N/A,#N/A,FALSE,"Large Operators";#N/A,#N/A,FALSE,"Smaller Operators";#N/A,#N/A,FALSE,"Equip. Supply";#N/A,#N/A,FALSE,"EBITDA";#N/A,#N/A,FALSE,"perform"}</definedName>
    <definedName name="wrn.Woksheets._.and._.entries." hidden="1">{#N/A,#N/A,FALSE,"Emmes Capital";#N/A,#N/A,FALSE,"Capital  Entries";#N/A,#N/A,FALSE,"Emmes Services";#N/A,#N/A,FALSE,"Services Entries";#N/A,#N/A,FALSE,"Emmes &amp; Co";#N/A,#N/A,FALSE,"Emmes  Entries";#N/A,#N/A,FALSE,"Proof"}</definedName>
    <definedName name="wrn.Working._.Party._.List." hidden="1">{#N/A,#N/A,FALSE,"Working List"}</definedName>
    <definedName name="wrn.Working._.Party._.List._1" hidden="1">{#N/A,#N/A,FALSE,"Working List"}</definedName>
    <definedName name="wrn.XL._.DTR." hidden="1">{#N/A,#N/A,TRUE,"XL Cash Flow";#N/A,#N/A,TRUE,"Prop Valuation";#N/A,#N/A,TRUE,"Equity";#N/A,#N/A,TRUE,"Modeling assumptions";#N/A,#N/A,TRUE,"NER Model";#N/A,#N/A,TRUE,"Lease Exp";#N/A,#N/A,TRUE,"Inc &amp; Exp";#N/A,#N/A,TRUE,"Formatted - roll";#N/A,#N/A,TRUE,"Debt Model";#N/A,#N/A,TRUE,"Debt-Moody";#N/A,#N/A,TRUE,"Debt"}</definedName>
    <definedName name="wrn.Year._.End._.APF._.reports." hidden="1">{#N/A,#N/A,FALSE,"Summary";#N/A,#N/A,FALSE,"CVI04";#N/A,#N/A,FALSE,"REG04";#N/A,#N/A,FALSE,"HAL04";#N/A,#N/A,FALSE,"WPL04";#N/A,#N/A,FALSE,"RPL04";#N/A,#N/A,FALSE,"GVA04";#N/A,#N/A,FALSE,"LRJKL04";#N/A,#N/A,FALSE,"RGW04";#N/A,#N/A,FALSE,"RHL04sum ";#N/A,#N/A,FALSE,"WPM04sum"}</definedName>
    <definedName name="wrn.Yield." hidden="1">{"Yield",#N/A,FALSE,"Yield"}</definedName>
    <definedName name="wrn.Zaxon._.Report._.1st._.half." hidden="1">{"CoverSheet",#N/A,FALSE,"Cover Sheet";"AreaSum",#N/A,FALSE,"Master Area Summary";"Exclusions",#N/A,FALSE,"Exclusions";"ZaxEXsum",#N/A,FALSE,"Executive Summary";"Zax A sum",#N/A,FALSE,"Bldg A Summary";"ZaxAest",#N/A,FALSE,"BLDG.A";"zaxCsum",#N/A,FALSE,"Bldg C Summary";"ZaxCest",#N/A,FALSE,"BLDG.C";"ZaxSTsum",#N/A,FALSE,"Site Summary";"zaxsite",#N/A,FALSE,"Site work"}</definedName>
    <definedName name="wrn.Zaxon._.Report._.2._.half." hidden="1">{"ZaxSWsum",#N/A,FALSE,"Sewer Summary";"ZaxSWest",#N/A,FALSE,"Sewer Estimate";"ZaxGRsum",#N/A,FALSE,"Garage Summary";"ZaxGRest",#N/A,FALSE,"Garage Estimate";"ZaxPLsum",#N/A,FALSE,"Pool Summary";"ZaxPLest",#N/A,FALSE,"Pool";"ZaxPHsum",#N/A,FALSE,"Pool House Summary";"ZaxMAsum",#N/A,FALSE,"Marina Summary";"ZaxMAest",#N/A,FALSE,"Marina Estimate"}</definedName>
    <definedName name="wrn_tot2" localSheetId="2" hidden="1">{#N/A,#N/A,FALSE,"P&amp;L";#N/A,#N/A,FALSE,"Var_Fixed_cost"}</definedName>
    <definedName name="wrn_tot2" hidden="1">{#N/A,#N/A,FALSE,"P&amp;L";#N/A,#N/A,FALSE,"Var_Fixed_cost"}</definedName>
    <definedName name="wrng" hidden="1">{"Output-BaseYear",#N/A,FALSE,"Output"}</definedName>
    <definedName name="wrnh" hidden="1">{"Output-All",#N/A,FALSE,"Output"}</definedName>
    <definedName name="wrnpkg" hidden="1">{#N/A,#N/A,FALSE,"Income Stmt";#N/A,#N/A,FALSE,"Income Summary"}</definedName>
    <definedName name="wrnpkgs" hidden="1">{#N/A,#N/A,FALSE,"Income Stmt";#N/A,#N/A,FALSE,"Income Summary"}</definedName>
    <definedName name="wt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tdavgshares">#REF!</definedName>
    <definedName name="WTRSWR">#REF!</definedName>
    <definedName name="wvu.Détails." hidden="1">{TRUE,TRUE,-1.25,-15.5,604.5,366.75,FALSE,TRUE,TRUE,TRUE,0,1,#N/A,1,#N/A,6.54838709677419,31.3076923076923,1,FALSE,FALSE,3,TRUE,1,FALSE,75,"Swvu.Détails.","ACwvu.Détails.",#N/A,FALSE,FALSE,0.15748031496063,0.15748031496063,0.748031496062992,0.511811023622047,2,"&amp;C&amp;""Arial,Gras""&amp;20DISNEY  -  PRODUCTION  BUDGET&amp;R&amp;""Arial,Gras""&amp;20SUMMARY","&amp;L&amp;F  -  &amp;A&amp;C&amp;""Arial,Gras""&amp;D&amp;""Arial,Normal""  -  &amp;T&amp;RPage
",TRUE,TRUE,FALSE,TRUE,1,#N/A,1,1,"=R1C1:R60C24","=R1:R5",#N/A,#N/A,FALSE,FALSE,FALSE,5,65532,65532,FALSE,FALSE,TRUE,TRUE,TRUE}</definedName>
    <definedName name="wvu.Escalation._.Table." hidden="1">{TRUE,TRUE,-1.25,-15.5,484.5,276.75,FALSE,TRUE,TRUE,TRUE,0,14,#N/A,20,#N/A,6.39784946236559,14.6190476190476,1,FALSE,FALSE,3,TRUE,1,FALSE,100,"Swvu.Escalation._.Table.","ACwvu.Escalation._.Table.",#N/A,FALSE,FALSE,0.51,0.5,0.5,1,2,"","",FALSE,FALSE,FALSE,FALSE,1,#N/A,1,3,FALSE,FALSE,#N/A,#N/A,FALSE,FALSE,FALSE,5,65532,300,FALSE,FALSE,TRUE,TRUE,TRUE}</definedName>
    <definedName name="wvu.inputs._.raw._.data.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Sommaire." hidden="1">{TRUE,TRUE,-1.25,-15.5,604.5,366.75,FALSE,TRUE,TRUE,TRUE,0,1,2,1,6,1,5,4,TRUE,TRUE,3,TRUE,1,TRUE,75,"Swvu.Sommaire.","ACwvu.Sommaire.",#N/A,FALSE,FALSE,0.15748031496063,0.15748031496063,0.748031496062992,0.511811023622047,2,"&amp;C&amp;""Arial,Gras""&amp;20DISNEY  -  PRODUCTION  BUDGET&amp;R&amp;""Arial,Gras""&amp;20SUMMARY","&amp;L&amp;F  -  &amp;A&amp;C&amp;""Arial,Gras""&amp;D&amp;""Arial,Normal""  -  &amp;T&amp;RPage
",TRUE,TRUE,FALSE,TRUE,1,#N/A,1,1,"=R1C1:R60C24","=R1:R5","Rwvu.Sommaire.",#N/A,FALSE,FALSE,FALSE,5,65532,65532,FALSE,FALSE,TRUE,TRUE,TRUE}</definedName>
    <definedName name="wvu.summary1.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2.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3.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w" localSheetId="2" hidden="1">{"detailes",#N/A,FALSE,"Fixed_cost"}</definedName>
    <definedName name="ww" hidden="1">{"detailes",#N/A,FALSE,"Fixed_cost"}</definedName>
    <definedName name="www" localSheetId="2" hidden="1">{"detailes",#N/A,FALSE,"var_cost"}</definedName>
    <definedName name="www" hidden="1">{"detailes",#N/A,FALSE,"var_cost"}</definedName>
    <definedName name="wwww" localSheetId="2" hidden="1">{"foreign_curr_prices",#N/A,FALSE,"COS"}</definedName>
    <definedName name="wwww" hidden="1">{"foreign_curr_prices",#N/A,FALSE,"COS"}</definedName>
    <definedName name="wwwww" hidden="1">{"HEITMAN COPY",#N/A,FALSE,"SCHEDULE A";"MINIMUM RENT",#N/A,FALSE,"SCHEDULES B &amp; C";"PERCENTAGE RENT",#N/A,FALSE,"SCHEDULES B &amp; C";#N/A,#N/A,FALSE,"SCHEDULE D";"SUMMARY SCHEDULE",#N/A,FALSE,"SCHEDULE E";#N/A,#N/A,FALSE,"SCHEDULE F";"SUMMARY SCHEDULE",#N/A,FALSE,"SCHEDULE H";"SUMMARY SCHEDULE",#N/A,FALSE,"SCHEDULE I";#N/A,#N/A,FALSE,"SCHEDULE J"}</definedName>
    <definedName name="wwwww333" hidden="1">{#N/A,#N/A,FALSE,"Broker Sheet";#N/A,#N/A,FALSE,"Exec.Summary";#N/A,#N/A,FALSE,"Argus Cash Flow";#N/A,#N/A,FALSE,"SPF";#N/A,#N/A,FALSE,"RentRoll"}</definedName>
    <definedName name="wwwwwwwwwwwwwwww" hidden="1">{#N/A,#N/A,FALSE,"Broker Sheet";#N/A,#N/A,FALSE,"Exec.Summary";#N/A,#N/A,FALSE,"Argus Cash Flow";#N/A,#N/A,FALSE,"SPF";#N/A,#N/A,FALSE,"RentRoll"}</definedName>
    <definedName name="x" hidden="1">#REF!</definedName>
    <definedName name="X.__PROPERTY_CONDITION_AND_PHYSICAL_NEEDS_ASSESSMENT">#REF!</definedName>
    <definedName name="X_ADR">#REF!</definedName>
    <definedName name="X_ADR2">#REF!</definedName>
    <definedName name="X_ALL">#REF!</definedName>
    <definedName name="X_ALL2">#REF!</definedName>
    <definedName name="X_COMP1">#REF!</definedName>
    <definedName name="X_COMP2">#REF!</definedName>
    <definedName name="X_DEMAND">#REF!</definedName>
    <definedName name="X_HIST_DEM">#REF!</definedName>
    <definedName name="X_HIST_PEN">#REF!</definedName>
    <definedName name="X_HISTOCC">#REF!</definedName>
    <definedName name="X_MONTHLY">#REF!</definedName>
    <definedName name="X_PEN">#REF!</definedName>
    <definedName name="X_Print_1">#REF!</definedName>
    <definedName name="X_Print_2">#REF!</definedName>
    <definedName name="X_Print_3">#REF!</definedName>
    <definedName name="X_Print_4">#REF!</definedName>
    <definedName name="X_RMSREV">#REF!</definedName>
    <definedName name="X_STR">#REF!</definedName>
    <definedName name="X_SUB_PEN">#REF!</definedName>
    <definedName name="XCHART" hidden="1">#REF!</definedName>
    <definedName name="xdrtuyxftgu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xdxdy" hidden="1">{#N/A,#N/A,FALSE,"A";#N/A,#N/A,FALSE,"B"}</definedName>
    <definedName name="xfgjxcfgj" hidden="1">{#N/A,#N/A,FALSE,"LP Exp";#N/A,#N/A,FALSE,"Salary";#N/A,#N/A,FALSE,"Admin Exp";#N/A,#N/A,FALSE,"QTS Bud";#N/A,#N/A,FALSE,"Marketing"}</definedName>
    <definedName name="xfgujxcfgj" hidden="1">{#N/A,#N/A,FALSE,"Common Area Accrual";#N/A,#N/A,FALSE,"Unit One LaSalle";#N/A,#N/A,FALSE,"Unit One CW";#N/A,#N/A,FALSE,"Unit One LaSallle + C &amp; W";#N/A,#N/A,FALSE,"Consolidated Accrual"}</definedName>
    <definedName name="xfgxcfgj" hidden="1">{#N/A,#N/A,FALSE,"399 Park Var";#N/A,#N/A,FALSE,"PK NOTES"}</definedName>
    <definedName name="xftxft" hidden="1">{#N/A,#N/A,FALSE,"A";#N/A,#N/A,FALSE,"C"}</definedName>
    <definedName name="XI.__ENVIRONMENTAL_ANALYSIS">#REF!</definedName>
    <definedName name="XII.__APPRAISAL_ANALYSIS">#REF!</definedName>
    <definedName name="XIII.__UNDERWRITING_CONCLUSIONS">#REF!</definedName>
    <definedName name="XIV.__SUMMARY_OF_EXIT_STRATEGY">#REF!</definedName>
    <definedName name="xp" hidden="1">#REF!</definedName>
    <definedName name="xs" hidden="1">#REF!</definedName>
    <definedName name="XV.__CONDITIONS_OF_COMMITMENT">#REF!</definedName>
    <definedName name="XVI.__Loan_Committee_Approval">#REF!</definedName>
    <definedName name="xx" hidden="1">#REF!</definedName>
    <definedName name="xxd" hidden="1">{#N/A,#N/A,FALSE,"Cashflow Analysis";#N/A,#N/A,FALSE,"Sensitivity Analysis";#N/A,#N/A,FALSE,"PV";#N/A,#N/A,FALSE,"Pro Forma"}</definedName>
    <definedName name="xxd.2" hidden="1">{#N/A,#N/A,FALSE,"Cashflow Analysis";#N/A,#N/A,FALSE,"Sensitivity Analysis";#N/A,#N/A,FALSE,"PV";#N/A,#N/A,FALSE,"Pro Forma"}</definedName>
    <definedName name="xxx" hidden="1">{"COM",#N/A,FALSE,"800 10th"}</definedName>
    <definedName name="xxx3" hidden="1">{"AnnualRentRoll",#N/A,FALSE,"RentRoll"}</definedName>
    <definedName name="xxx4" hidden="1">{#N/A,#N/A,FALSE,"ExitStratigy"}</definedName>
    <definedName name="xxxx" hidden="1">{"mgmt forecast",#N/A,FALSE,"Mgmt Forecast";"dcf table",#N/A,FALSE,"Mgmt Forecast";"sensitivity",#N/A,FALSE,"Mgmt Forecast";"table inputs",#N/A,FALSE,"Mgmt Forecast";"calculations",#N/A,FALSE,"Mgmt Forecast"}</definedName>
    <definedName name="xyz" hidden="1">{#N/A,#N/A,TRUE,"XL Cash Flow";#N/A,#N/A,TRUE,"Prop Valuation";#N/A,#N/A,TRUE,"Equity";#N/A,#N/A,TRUE,"Modeling assumptions";#N/A,#N/A,TRUE,"NER Model";#N/A,#N/A,TRUE,"Lease Exp";#N/A,#N/A,TRUE,"Inc &amp; Exp";#N/A,#N/A,TRUE,"Formatted - roll";#N/A,#N/A,TRUE,"Debt Model";#N/A,#N/A,TRUE,"Debt-Moody";#N/A,#N/A,TRUE,"Debt"}</definedName>
    <definedName name="y" hidden="1">#REF!</definedName>
    <definedName name="Ye">#REF!</definedName>
    <definedName name="Year">#REF!</definedName>
    <definedName name="Year_Actual_Prior">1999</definedName>
    <definedName name="Year_End_Forecast_Varience">#REF!</definedName>
    <definedName name="Year_next_budget">1998</definedName>
    <definedName name="Year1">#REF!</definedName>
    <definedName name="Year10">#REF!</definedName>
    <definedName name="Year11">#REF!</definedName>
    <definedName name="Year12">#REF!</definedName>
    <definedName name="Year1NOI">#REF!</definedName>
    <definedName name="Year2">#REF!</definedName>
    <definedName name="Year3">#REF!</definedName>
    <definedName name="Year4">#REF!</definedName>
    <definedName name="Year5">#REF!</definedName>
    <definedName name="Year6">#REF!</definedName>
    <definedName name="Year7">#REF!</definedName>
    <definedName name="Year8">#REF!</definedName>
    <definedName name="Year9">#REF!</definedName>
    <definedName name="YearBudget">2000</definedName>
    <definedName name="YearEnd">#REF!</definedName>
    <definedName name="YearEndDay">#REF!</definedName>
    <definedName name="YearEndMonth">#REF!</definedName>
    <definedName name="YearFraction">#REF!</definedName>
    <definedName name="YEARS">#REF!</definedName>
    <definedName name="YES">#REF!</definedName>
    <definedName name="YesNo">#REF!</definedName>
    <definedName name="YGJ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YieldBasis">#REF!</definedName>
    <definedName name="YM">#REF!</definedName>
    <definedName name="YN">#REF!</definedName>
    <definedName name="YOC">#REF!</definedName>
    <definedName name="YOD">#REF!</definedName>
    <definedName name="YOSLAND">#REF!</definedName>
    <definedName name="YR_BUILT">#REF!</definedName>
    <definedName name="yrdy" hidden="1">{#N/A,#N/A,FALSE,"LP Exp";#N/A,#N/A,FALSE,"Salary";#N/A,#N/A,FALSE,"Admin Exp";#N/A,#N/A,FALSE,"QTS Bud";#N/A,#N/A,FALSE,"Marketing"}</definedName>
    <definedName name="yyy" hidden="1">#REF!</definedName>
    <definedName name="Z">#REF!</definedName>
    <definedName name="ｚ" localSheetId="2" hidden="1">{"'下期集計（10.27迄・速報値）'!$Q$16"}</definedName>
    <definedName name="ｚ" hidden="1">{"'下期集計（10.27迄・速報値）'!$Q$16"}</definedName>
    <definedName name="Z_0DF4CCD5_BD29_11D2_B943_0050040AC21C_.wvu.FilterData" hidden="1">#REF!</definedName>
    <definedName name="Z_1906290E_BC61_11D2_B941_0050040AC21C_.wvu.FilterData" hidden="1">#REF!</definedName>
    <definedName name="Z_19062910_BC61_11D2_B941_0050040AC21C_.wvu.FilterData" hidden="1">#REF!</definedName>
    <definedName name="Z_2DF11753_B84B_11D2_B93A_0050040AC227_.wvu.PrintArea" hidden="1">#REF!</definedName>
    <definedName name="Z_4C1CBF02_B7B5_11D2_B93A_0050040AC21C_.wvu.FilterData" hidden="1">#REF!</definedName>
    <definedName name="Z_4C1CBF02_B7B5_11D2_B93A_0050040AC21C_.wvu.PrintArea" hidden="1">#REF!</definedName>
    <definedName name="Z_4C1CBF02_B7B5_11D2_B93A_0050040AC21C_.wvu.PrintTitles" hidden="1">#REF!</definedName>
    <definedName name="Z_6188BF32_9D6B_402D_B864_7A1178662966_.wvu.Cols" hidden="1">#REF!</definedName>
    <definedName name="Z_66231A85_C0F1_11D2_B93B_0050040AC227_.wvu.FilterData" hidden="1">#REF!</definedName>
    <definedName name="Z_66231A86_C0F1_11D2_B93B_0050040AC227_.wvu.FilterData" hidden="1">#REF!</definedName>
    <definedName name="Z_A2426FEA_B812_466E_AD56_91907F9FA6F0_.wvu.PrintArea" hidden="1">#REF!</definedName>
    <definedName name="Z_A99CC723_C1C7_11D2_B941_0050040AC228_.wvu.FilterData" hidden="1">#REF!</definedName>
    <definedName name="Z_A99CC729_C1C7_11D2_B941_0050040AC228_.wvu.FilterData" hidden="1">#REF!</definedName>
    <definedName name="Z_A99CC733_C1C7_11D2_B941_0050040AC228_.wvu.FilterData" hidden="1">#REF!</definedName>
    <definedName name="Z_A99CC736_C1C7_11D2_B941_0050040AC228_.wvu.FilterData" hidden="1">#REF!</definedName>
    <definedName name="Z_B3F6EA45_C4B0_11D6_A93C_F3538214D62E_.wvu.Cols" hidden="1">#REF!</definedName>
    <definedName name="Z_B3F6EA45_C4B0_11D6_A93C_F3538214D62E_.wvu.PrintArea" hidden="1">#REF!</definedName>
    <definedName name="Z_B3F6EA45_C4B0_11D6_A93C_F3538214D62E_.wvu.PrintTitles" hidden="1">#REF!</definedName>
    <definedName name="Z_B3F6EA45_C4B0_11D6_A93C_F3538214D62E_.wvu.Rows" hidden="1">#REF!,#REF!,#REF!</definedName>
    <definedName name="Z_C9FB2A72_5C56_11D3_AD66_0050040A13CD_.wvu.PrintArea" hidden="1">#REF!</definedName>
    <definedName name="Z_C9FB2A72_5C56_11D3_AD66_0050040A13CD_.wvu.PrintTitles" hidden="1">#REF!</definedName>
    <definedName name="Z_C9FB2A73_5C56_11D3_AD66_0050040A13CD_.wvu.PrintArea" hidden="1">#REF!</definedName>
    <definedName name="Z_C9FB2A73_5C56_11D3_AD66_0050040A13CD_.wvu.PrintTitles" hidden="1">#REF!</definedName>
    <definedName name="Z_C9FB2A75_5C56_11D3_AD66_0050040A13CD_.wvu.PrintArea" hidden="1">#REF!</definedName>
    <definedName name="Z_C9FB2A75_5C56_11D3_AD66_0050040A13CD_.wvu.PrintTitles" hidden="1">#REF!</definedName>
    <definedName name="Z_C9FB2A76_5C56_11D3_AD66_0050040A13CD_.wvu.PrintArea" hidden="1">#REF!</definedName>
    <definedName name="Z_C9FB2A76_5C56_11D3_AD66_0050040A13CD_.wvu.PrintTitles" hidden="1">#REF!</definedName>
    <definedName name="Z_C9FB2A77_5C56_11D3_AD66_0050040A13CD_.wvu.PrintArea" hidden="1">#REF!</definedName>
    <definedName name="Z_C9FB2A77_5C56_11D3_AD66_0050040A13CD_.wvu.PrintTitles" hidden="1">#REF!</definedName>
    <definedName name="Z_C9FB2A79_5C56_11D3_AD66_0050040A13CD_.wvu.PrintArea" hidden="1">#REF!</definedName>
    <definedName name="Z_C9FB2A79_5C56_11D3_AD66_0050040A13CD_.wvu.PrintTitles" hidden="1">#REF!</definedName>
    <definedName name="Z_D782F750_C0FB_11D2_B941_0050040AC228_.wvu.FilterData" hidden="1">#REF!</definedName>
    <definedName name="Z_DC379DF6_BBB3_11D2_B93F_0050040AC228_.wvu.FilterData" hidden="1">#REF!</definedName>
    <definedName name="Z_ED7DF65E_BB85_11D2_B93F_0050040AC228_.wvu.FilterData" hidden="1">#REF!</definedName>
    <definedName name="Z_F14718EE_5AC2_11D3_AD63_0050040A13CD_.wvu.PrintArea" hidden="1">#REF!</definedName>
    <definedName name="Z_F14718EF_5AC2_11D3_AD63_0050040A13CD_.wvu.PrintArea" hidden="1">#REF!</definedName>
    <definedName name="Z_F14718F1_5AC2_11D3_AD63_0050040A13CD_.wvu.PrintArea" hidden="1">#REF!</definedName>
    <definedName name="Z_F14718F2_5AC2_11D3_AD63_0050040A13CD_.wvu.PrintArea" hidden="1">#REF!</definedName>
    <definedName name="Z_F14718F3_5AC2_11D3_AD63_0050040A13CD_.wvu.PrintArea" hidden="1">#REF!</definedName>
    <definedName name="Z_F14718F5_5AC2_11D3_AD63_0050040A13CD_.wvu.PrintArea" hidden="1">#REF!</definedName>
    <definedName name="Z_F1471909_5AC2_11D3_AD63_0050040A13CD_.wvu.PrintArea" hidden="1">#REF!</definedName>
    <definedName name="Z_F1471909_5AC2_11D3_AD63_0050040A13CD_.wvu.PrintTitles" hidden="1">#REF!</definedName>
    <definedName name="Z_F147190A_5AC2_11D3_AD63_0050040A13CD_.wvu.PrintArea" hidden="1">#REF!</definedName>
    <definedName name="Z_F147190A_5AC2_11D3_AD63_0050040A13CD_.wvu.PrintTitles" hidden="1">#REF!</definedName>
    <definedName name="Z_F147190C_5AC2_11D3_AD63_0050040A13CD_.wvu.PrintArea" hidden="1">#REF!</definedName>
    <definedName name="Z_F147190C_5AC2_11D3_AD63_0050040A13CD_.wvu.PrintTitles" hidden="1">#REF!</definedName>
    <definedName name="Z_F147190D_5AC2_11D3_AD63_0050040A13CD_.wvu.PrintArea" hidden="1">#REF!</definedName>
    <definedName name="Z_F147190D_5AC2_11D3_AD63_0050040A13CD_.wvu.PrintTitles" hidden="1">#REF!</definedName>
    <definedName name="Z_F147190E_5AC2_11D3_AD63_0050040A13CD_.wvu.PrintArea" hidden="1">#REF!</definedName>
    <definedName name="Z_F147190E_5AC2_11D3_AD63_0050040A13CD_.wvu.PrintTitles" hidden="1">#REF!</definedName>
    <definedName name="Z_F1471910_5AC2_11D3_AD63_0050040A13CD_.wvu.PrintArea" hidden="1">#REF!</definedName>
    <definedName name="Z_F1471910_5AC2_11D3_AD63_0050040A13CD_.wvu.PrintTitles" hidden="1">#REF!</definedName>
    <definedName name="Z_F1471912_5AC2_11D3_AD63_0050040A13CD_.wvu.PrintArea" hidden="1">#REF!</definedName>
    <definedName name="Z_F1471912_5AC2_11D3_AD63_0050040A13CD_.wvu.PrintTitles" hidden="1">#REF!</definedName>
    <definedName name="Z_F1471913_5AC2_11D3_AD63_0050040A13CD_.wvu.PrintArea" hidden="1">#REF!</definedName>
    <definedName name="Z_F1471913_5AC2_11D3_AD63_0050040A13CD_.wvu.PrintTitles" hidden="1">#REF!</definedName>
    <definedName name="Z_F1471915_5AC2_11D3_AD63_0050040A13CD_.wvu.PrintArea" hidden="1">#REF!</definedName>
    <definedName name="Z_F1471915_5AC2_11D3_AD63_0050040A13CD_.wvu.PrintTitles" hidden="1">#REF!</definedName>
    <definedName name="Z_F1471916_5AC2_11D3_AD63_0050040A13CD_.wvu.PrintArea" hidden="1">#REF!</definedName>
    <definedName name="Z_F1471916_5AC2_11D3_AD63_0050040A13CD_.wvu.PrintTitles" hidden="1">#REF!</definedName>
    <definedName name="Z_F1471917_5AC2_11D3_AD63_0050040A13CD_.wvu.PrintArea" hidden="1">#REF!</definedName>
    <definedName name="Z_F1471917_5AC2_11D3_AD63_0050040A13CD_.wvu.PrintTitles" hidden="1">#REF!</definedName>
    <definedName name="Z_F1471919_5AC2_11D3_AD63_0050040A13CD_.wvu.PrintArea" hidden="1">#REF!</definedName>
    <definedName name="Z_F1471919_5AC2_11D3_AD63_0050040A13CD_.wvu.PrintTitles" hidden="1">#REF!</definedName>
    <definedName name="zgzg" hidden="1">#REF!</definedName>
    <definedName name="zma1">#REF!</definedName>
    <definedName name="zma10">#REF!</definedName>
    <definedName name="zma11">#REF!</definedName>
    <definedName name="zma12">#REF!</definedName>
    <definedName name="zma13">#REF!</definedName>
    <definedName name="zma14">#REF!</definedName>
    <definedName name="zma15">#REF!</definedName>
    <definedName name="zma16">#REF!</definedName>
    <definedName name="zma17">#REF!</definedName>
    <definedName name="zma18">#REF!</definedName>
    <definedName name="zma19">#REF!</definedName>
    <definedName name="zma2">#REF!</definedName>
    <definedName name="zma20">#REF!</definedName>
    <definedName name="zma21">#REF!</definedName>
    <definedName name="zma22">#REF!</definedName>
    <definedName name="zma23">#REF!</definedName>
    <definedName name="zma24">#REF!</definedName>
    <definedName name="zma25">#REF!</definedName>
    <definedName name="zma26">#REF!</definedName>
    <definedName name="zma3">#REF!</definedName>
    <definedName name="zma4">#REF!</definedName>
    <definedName name="zma5">#REF!</definedName>
    <definedName name="zma6">#REF!</definedName>
    <definedName name="zma7">#REF!</definedName>
    <definedName name="zma8">#REF!</definedName>
    <definedName name="zma9">#REF!</definedName>
    <definedName name="ZMacro_Reset_Lease_up">#REF!</definedName>
    <definedName name="zsrg" hidden="1">{#N/A,#N/A,FALSE,"Expense Detail ";#N/A,#N/A,FALSE,"Worksheet";#N/A,#N/A,FALSE,"Audit";#N/A,#N/A,FALSE,"Exclusions";#N/A,#N/A,FALSE,"Variance";#N/A,#N/A,FALSE,"Reconciliation"}</definedName>
    <definedName name="zxc" hidden="1">{"mgmt forecast",#N/A,FALSE,"Mgmt Forecast";"dcf table",#N/A,FALSE,"Mgmt Forecast";"sensitivity",#N/A,FALSE,"Mgmt Forecast";"table inputs",#N/A,FALSE,"Mgmt Forecast";"calculations",#N/A,FALSE,"Mgmt Forecast"}</definedName>
    <definedName name="zzzz" hidden="1">{"Commish",#N/A,FALSE,"LAWTC"}</definedName>
    <definedName name="zzzzzzzzzzzzzzzzzzzz" hidden="1">{"Outflow 1",#N/A,FALSE,"Outflows-Inflows";"Outflow 2",#N/A,FALSE,"Outflows-Inflows";"Inflow 1",#N/A,FALSE,"Outflows-Inflows";"Inflow 2",#N/A,FALSE,"Outflows-Inflows"}</definedName>
    <definedName name="ぁ" localSheetId="2" hidden="1">{"'下期集計（10.27迄・速報値）'!$Q$16"}</definedName>
    <definedName name="ぁ" hidden="1">{"'下期集計（10.27迄・速報値）'!$Q$16"}</definedName>
    <definedName name="あ" localSheetId="2" hidden="1">{"'下期集計（10.27迄・速報値）'!$Q$16"}</definedName>
    <definedName name="あ" hidden="1">{"'下期集計（10.27迄・速報値）'!$Q$16"}</definedName>
    <definedName name="あああ" localSheetId="2" hidden="1">{"'下期集計（10.27迄・速報値）'!$Q$16"}</definedName>
    <definedName name="あああ" hidden="1">{"'下期集計（10.27迄・速報値）'!$Q$16"}</definedName>
    <definedName name="なんで" localSheetId="2" hidden="1">{"'下期集計（10.27迄・速報値）'!$Q$16"}</definedName>
    <definedName name="なんで" hidden="1">{"'下期集計（10.27迄・速報値）'!$Q$16"}</definedName>
    <definedName name="なんなの" localSheetId="2" hidden="1">{"'下期集計（10.27迄・速報値）'!$Q$16"}</definedName>
    <definedName name="なんなの" hidden="1">{"'下期集計（10.27迄・速報値）'!$Q$16"}</definedName>
    <definedName name="年間収支買掛" localSheetId="2" hidden="1">{"'下期集計（10.27迄・速報値）'!$Q$16"}</definedName>
    <definedName name="年間収支買掛" hidden="1">{"'下期集計（10.27迄・速報値）'!$Q$16"}</definedName>
    <definedName name="年間資金収支あ" localSheetId="2" hidden="1">{"'下期集計（10.27迄・速報値）'!$Q$16"}</definedName>
    <definedName name="年間資金収支あ" hidden="1">{"'下期集計（10.27迄・速報値）'!$Q$16"}</definedName>
    <definedName name="日繰06" localSheetId="2" hidden="1">{"'下期集計（10.27迄・速報値）'!$Q$16"}</definedName>
    <definedName name="日繰06" hidden="1">{"'下期集計（10.27迄・速報値）'!$Q$16"}</definedName>
    <definedName name="要処理資産②" localSheetId="2" hidden="1">{"'下期集計（10.27迄・速報値）'!$Q$16"}</definedName>
    <definedName name="要処理資産②" hidden="1">{"'下期集計（10.27迄・速報値）'!$Q$16"}</definedName>
    <definedName name="資金" localSheetId="2" hidden="1">{"'下期集計（10.27迄・速報値）'!$Q$16"}</definedName>
    <definedName name="資金" hidden="1">{"'下期集計（10.27迄・速報値）'!$Q$16"}</definedName>
    <definedName name="金利体系" localSheetId="2" hidden="1">{"'下期集計（10.27迄・速報値）'!$Q$16"}</definedName>
    <definedName name="金利体系" hidden="1">{"'下期集計（10.27迄・速報値）'!$Q$16"}</definedName>
    <definedName name="関連" localSheetId="2" hidden="1">{"'下期集計（10.27迄・速報値）'!$Q$16"}</definedName>
    <definedName name="関連" hidden="1">{"'下期集計（10.27迄・速報値）'!$Q$16"}</definedName>
  </definedNames>
  <calcPr calcId="191029" iterate="1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7" i="10" l="1"/>
  <c r="F55" i="2" s="1"/>
  <c r="K18" i="10"/>
  <c r="F56" i="2" s="1"/>
  <c r="J17" i="10"/>
  <c r="J18" i="10"/>
  <c r="J16" i="10"/>
  <c r="K27" i="10"/>
  <c r="F65" i="2" s="1"/>
  <c r="K9" i="10"/>
  <c r="F43" i="2" s="1"/>
  <c r="K10" i="10"/>
  <c r="F44" i="2" s="1"/>
  <c r="K11" i="10"/>
  <c r="F45" i="2" s="1"/>
  <c r="K12" i="10"/>
  <c r="F46" i="2" s="1"/>
  <c r="N40" i="9" a="1"/>
  <c r="N40" i="9" s="1"/>
  <c r="N30" i="9" a="1"/>
  <c r="N30" i="9" s="1"/>
  <c r="N18" i="9" a="1"/>
  <c r="N18" i="9" s="1"/>
  <c r="N8" i="9" a="1"/>
  <c r="N8" i="9" s="1"/>
  <c r="P37" i="9"/>
  <c r="J15" i="10"/>
  <c r="K15" i="10" s="1"/>
  <c r="F53" i="2" s="1"/>
  <c r="K16" i="10"/>
  <c r="J19" i="10"/>
  <c r="K19" i="10" s="1"/>
  <c r="F57" i="2" s="1"/>
  <c r="J20" i="10"/>
  <c r="J21" i="10"/>
  <c r="K21" i="10" s="1"/>
  <c r="F59" i="2" s="1"/>
  <c r="J22" i="10"/>
  <c r="K22" i="10" s="1"/>
  <c r="F60" i="2" s="1"/>
  <c r="J23" i="10"/>
  <c r="K23" i="10" s="1"/>
  <c r="F61" i="2" s="1"/>
  <c r="J24" i="10"/>
  <c r="J25" i="10"/>
  <c r="K25" i="10" s="1"/>
  <c r="F63" i="2" s="1"/>
  <c r="J26" i="10"/>
  <c r="K26" i="10" s="1"/>
  <c r="F64" i="2" s="1"/>
  <c r="J27" i="10"/>
  <c r="J14" i="10"/>
  <c r="J8" i="10"/>
  <c r="K8" i="10" s="1"/>
  <c r="J7" i="10"/>
  <c r="K7" i="10" s="1"/>
  <c r="J6" i="10"/>
  <c r="J5" i="10"/>
  <c r="K5" i="10" s="1"/>
  <c r="F54" i="2" l="1"/>
  <c r="G54" i="2" s="1"/>
  <c r="H54" i="2" s="1"/>
  <c r="I54" i="2" s="1"/>
  <c r="J54" i="2" s="1"/>
  <c r="K54" i="2" s="1"/>
  <c r="L54" i="2" s="1"/>
  <c r="M54" i="2" s="1"/>
  <c r="N54" i="2" s="1"/>
  <c r="O54" i="2" s="1"/>
  <c r="P54" i="2" s="1"/>
  <c r="Q54" i="2" s="1"/>
  <c r="R54" i="2" s="1"/>
  <c r="G55" i="2"/>
  <c r="H55" i="2" s="1"/>
  <c r="I55" i="2" s="1"/>
  <c r="J55" i="2" s="1"/>
  <c r="K55" i="2" s="1"/>
  <c r="L55" i="2" s="1"/>
  <c r="M55" i="2" s="1"/>
  <c r="N55" i="2" s="1"/>
  <c r="O55" i="2" s="1"/>
  <c r="P55" i="2" s="1"/>
  <c r="Q55" i="2" s="1"/>
  <c r="R55" i="2" s="1"/>
  <c r="E55" i="2"/>
  <c r="K6" i="10"/>
  <c r="F36" i="2" s="1"/>
  <c r="F37" i="2"/>
  <c r="E53" i="2"/>
  <c r="K14" i="10"/>
  <c r="F52" i="2" s="1"/>
  <c r="K24" i="10"/>
  <c r="F62" i="2" s="1"/>
  <c r="K20" i="10"/>
  <c r="F58" i="2" s="1"/>
  <c r="F48" i="2"/>
  <c r="F35" i="2"/>
  <c r="F47" i="2"/>
  <c r="F66" i="2" l="1"/>
  <c r="E54" i="2"/>
  <c r="K13" i="10"/>
  <c r="K28" i="10"/>
  <c r="K29" i="10" l="1"/>
  <c r="G72" i="2" l="1"/>
  <c r="D61" i="2"/>
  <c r="G36" i="2"/>
  <c r="H36" i="2" s="1"/>
  <c r="I36" i="2" s="1"/>
  <c r="J36" i="2" s="1"/>
  <c r="K36" i="2" s="1"/>
  <c r="L36" i="2" s="1"/>
  <c r="M36" i="2" s="1"/>
  <c r="N36" i="2" s="1"/>
  <c r="O36" i="2" s="1"/>
  <c r="P36" i="2" s="1"/>
  <c r="Q36" i="2" s="1"/>
  <c r="R36" i="2" s="1"/>
  <c r="D59" i="2"/>
  <c r="P47" i="9"/>
  <c r="R41" i="9"/>
  <c r="R42" i="9"/>
  <c r="R43" i="9"/>
  <c r="R44" i="9"/>
  <c r="R45" i="9"/>
  <c r="R46" i="9"/>
  <c r="R40" i="9"/>
  <c r="D62" i="2"/>
  <c r="D58" i="2"/>
  <c r="D53" i="2"/>
  <c r="H501" i="9"/>
  <c r="Q52" i="9" s="1"/>
  <c r="G501" i="9"/>
  <c r="P52" i="9" s="1"/>
  <c r="Q35" i="9"/>
  <c r="Q36" i="9"/>
  <c r="O35" i="9"/>
  <c r="O45" i="9" s="1"/>
  <c r="Q45" i="9" s="1"/>
  <c r="O36" i="9"/>
  <c r="O46" i="9" s="1"/>
  <c r="Q46" i="9" s="1"/>
  <c r="S33" i="9" l="1"/>
  <c r="S34" i="9"/>
  <c r="S36" i="9"/>
  <c r="S31" i="9"/>
  <c r="S35" i="9"/>
  <c r="S32" i="9"/>
  <c r="Q34" i="9"/>
  <c r="O34" i="9"/>
  <c r="O44" i="9" s="1"/>
  <c r="Q44" i="9" s="1"/>
  <c r="Q32" i="9"/>
  <c r="O33" i="9"/>
  <c r="O43" i="9" s="1"/>
  <c r="Q43" i="9" s="1"/>
  <c r="Q31" i="9"/>
  <c r="O32" i="9"/>
  <c r="O42" i="9" s="1"/>
  <c r="Q42" i="9" s="1"/>
  <c r="O31" i="9"/>
  <c r="O41" i="9" s="1"/>
  <c r="Q41" i="9" s="1"/>
  <c r="Q33" i="9"/>
  <c r="O11" i="11" l="1"/>
  <c r="I44" i="2"/>
  <c r="J44" i="2"/>
  <c r="K44" i="2"/>
  <c r="L44" i="2"/>
  <c r="M44" i="2"/>
  <c r="N44" i="2"/>
  <c r="O44" i="2"/>
  <c r="P44" i="2"/>
  <c r="Q44" i="2"/>
  <c r="R44" i="2"/>
  <c r="H44" i="2"/>
  <c r="S44" i="9" l="1"/>
  <c r="S46" i="9"/>
  <c r="S45" i="9"/>
  <c r="S40" i="9"/>
  <c r="C11" i="14"/>
  <c r="C13" i="14"/>
  <c r="O17" i="11"/>
  <c r="J9" i="2" s="1"/>
  <c r="Q34" i="11"/>
  <c r="R34" i="11"/>
  <c r="N16" i="2"/>
  <c r="D70" i="2"/>
  <c r="D17" i="2" l="1"/>
  <c r="G62" i="2"/>
  <c r="H62" i="2" s="1"/>
  <c r="I62" i="2" s="1"/>
  <c r="J62" i="2" s="1"/>
  <c r="K62" i="2" s="1"/>
  <c r="L62" i="2" s="1"/>
  <c r="M62" i="2" s="1"/>
  <c r="N62" i="2" s="1"/>
  <c r="O62" i="2" s="1"/>
  <c r="P62" i="2" s="1"/>
  <c r="Q62" i="2" s="1"/>
  <c r="R62" i="2" s="1"/>
  <c r="R27" i="11" l="1"/>
  <c r="R7" i="11"/>
  <c r="C18" i="14" s="1"/>
  <c r="P16" i="2"/>
  <c r="R8" i="2"/>
  <c r="P13" i="2"/>
  <c r="H24" i="2"/>
  <c r="R12" i="2"/>
  <c r="G23" i="2"/>
  <c r="H23" i="2" s="1"/>
  <c r="I23" i="2" s="1"/>
  <c r="J23" i="2" s="1"/>
  <c r="K23" i="2" s="1"/>
  <c r="L23" i="2" s="1"/>
  <c r="M23" i="2" s="1"/>
  <c r="N23" i="2" s="1"/>
  <c r="O23" i="2" s="1"/>
  <c r="P23" i="2" s="1"/>
  <c r="Q23" i="2" s="1"/>
  <c r="R23" i="2" s="1"/>
  <c r="H87" i="2" l="1"/>
  <c r="H72" i="2"/>
  <c r="H73" i="2" s="1"/>
  <c r="G48" i="2"/>
  <c r="H48" i="2" s="1"/>
  <c r="I48" i="2" s="1"/>
  <c r="J48" i="2" s="1"/>
  <c r="K48" i="2" s="1"/>
  <c r="L48" i="2" s="1"/>
  <c r="M48" i="2" s="1"/>
  <c r="N48" i="2" s="1"/>
  <c r="O48" i="2" s="1"/>
  <c r="P48" i="2" s="1"/>
  <c r="Q48" i="2" s="1"/>
  <c r="R48" i="2" s="1"/>
  <c r="G37" i="2"/>
  <c r="C20" i="14"/>
  <c r="H76" i="2"/>
  <c r="G57" i="2"/>
  <c r="H57" i="2" s="1"/>
  <c r="I57" i="2" s="1"/>
  <c r="J57" i="2" s="1"/>
  <c r="K57" i="2" s="1"/>
  <c r="L57" i="2" s="1"/>
  <c r="M57" i="2" s="1"/>
  <c r="N57" i="2" s="1"/>
  <c r="O57" i="2" s="1"/>
  <c r="P57" i="2" s="1"/>
  <c r="Q57" i="2" s="1"/>
  <c r="R57" i="2" s="1"/>
  <c r="G56" i="2"/>
  <c r="H56" i="2" s="1"/>
  <c r="I56" i="2" s="1"/>
  <c r="J56" i="2" s="1"/>
  <c r="K56" i="2" s="1"/>
  <c r="L56" i="2" s="1"/>
  <c r="M56" i="2" s="1"/>
  <c r="N56" i="2" s="1"/>
  <c r="O56" i="2" s="1"/>
  <c r="P56" i="2" s="1"/>
  <c r="Q56" i="2" s="1"/>
  <c r="R56" i="2" s="1"/>
  <c r="G63" i="2"/>
  <c r="H63" i="2" s="1"/>
  <c r="I63" i="2" s="1"/>
  <c r="J63" i="2" s="1"/>
  <c r="K63" i="2" s="1"/>
  <c r="L63" i="2" s="1"/>
  <c r="M63" i="2" s="1"/>
  <c r="N63" i="2" s="1"/>
  <c r="O63" i="2" s="1"/>
  <c r="P63" i="2" s="1"/>
  <c r="Q63" i="2" s="1"/>
  <c r="R63" i="2" s="1"/>
  <c r="I24" i="2"/>
  <c r="I87" i="2" l="1"/>
  <c r="I32" i="2" s="1"/>
  <c r="I72" i="2"/>
  <c r="F39" i="2"/>
  <c r="I76" i="2"/>
  <c r="G52" i="2"/>
  <c r="H52" i="2" s="1"/>
  <c r="I52" i="2" s="1"/>
  <c r="J52" i="2" s="1"/>
  <c r="K52" i="2" s="1"/>
  <c r="L52" i="2" s="1"/>
  <c r="M52" i="2" s="1"/>
  <c r="N52" i="2" s="1"/>
  <c r="O52" i="2" s="1"/>
  <c r="P52" i="2" s="1"/>
  <c r="Q52" i="2" s="1"/>
  <c r="R52" i="2" s="1"/>
  <c r="H37" i="2"/>
  <c r="G45" i="2"/>
  <c r="H32" i="2"/>
  <c r="J24" i="2"/>
  <c r="F49" i="2" l="1"/>
  <c r="J87" i="2"/>
  <c r="J32" i="2" s="1"/>
  <c r="J72" i="2"/>
  <c r="J73" i="2" s="1"/>
  <c r="J76" i="2"/>
  <c r="I37" i="2"/>
  <c r="H45" i="2"/>
  <c r="K24" i="2"/>
  <c r="K87" i="2" l="1"/>
  <c r="K32" i="2" s="1"/>
  <c r="K72" i="2"/>
  <c r="K73" i="2" s="1"/>
  <c r="F68" i="2"/>
  <c r="F67" i="2"/>
  <c r="J37" i="2"/>
  <c r="I45" i="2"/>
  <c r="L24" i="2"/>
  <c r="L87" i="2" s="1"/>
  <c r="F74" i="2" l="1"/>
  <c r="L76" i="2"/>
  <c r="K37" i="2"/>
  <c r="J45" i="2"/>
  <c r="L32" i="2"/>
  <c r="M24" i="2"/>
  <c r="M87" i="2" l="1"/>
  <c r="M72" i="2"/>
  <c r="M73" i="2" s="1"/>
  <c r="M76" i="2"/>
  <c r="L37" i="2"/>
  <c r="K45" i="2"/>
  <c r="N24" i="2"/>
  <c r="M32" i="2"/>
  <c r="N87" i="2" l="1"/>
  <c r="N32" i="2" s="1"/>
  <c r="N72" i="2"/>
  <c r="N73" i="2" s="1"/>
  <c r="N76" i="2"/>
  <c r="M37" i="2"/>
  <c r="L45" i="2"/>
  <c r="O24" i="2"/>
  <c r="O87" i="2" l="1"/>
  <c r="O72" i="2"/>
  <c r="O73" i="2" s="1"/>
  <c r="O76" i="2"/>
  <c r="N37" i="2"/>
  <c r="M45" i="2"/>
  <c r="O32" i="2"/>
  <c r="P24" i="2"/>
  <c r="P87" i="2" l="1"/>
  <c r="P72" i="2"/>
  <c r="P76" i="2"/>
  <c r="O37" i="2"/>
  <c r="N45" i="2"/>
  <c r="G73" i="2"/>
  <c r="P32" i="2"/>
  <c r="Q24" i="2"/>
  <c r="Q87" i="2" l="1"/>
  <c r="Q72" i="2"/>
  <c r="Q76" i="2"/>
  <c r="P37" i="2"/>
  <c r="O45" i="2"/>
  <c r="R24" i="2"/>
  <c r="Q32" i="2"/>
  <c r="R87" i="2" l="1"/>
  <c r="R32" i="2" s="1"/>
  <c r="R72" i="2"/>
  <c r="R73" i="2" s="1"/>
  <c r="R76" i="2"/>
  <c r="Q37" i="2"/>
  <c r="P45" i="2"/>
  <c r="R37" i="2" l="1"/>
  <c r="R45" i="2" s="1"/>
  <c r="Q45" i="2"/>
  <c r="P73" i="2" l="1"/>
  <c r="Q73" i="2" l="1"/>
  <c r="N34" i="11"/>
  <c r="O34" i="11"/>
  <c r="S34" i="11"/>
  <c r="N13" i="2"/>
  <c r="G31" i="2" s="1"/>
  <c r="G29" i="2" l="1"/>
  <c r="P18" i="2" l="1"/>
  <c r="I81" i="2" s="1"/>
  <c r="G76" i="2"/>
  <c r="G78" i="2" s="1"/>
  <c r="G79" i="2" s="1"/>
  <c r="N8" i="2"/>
  <c r="J18" i="2"/>
  <c r="O26" i="11" s="1"/>
  <c r="N9" i="2"/>
  <c r="N12" i="2"/>
  <c r="N10" i="2"/>
  <c r="J81" i="2" l="1"/>
  <c r="H81" i="2"/>
  <c r="G81" i="2"/>
  <c r="J14" i="2"/>
  <c r="O22" i="11" s="1"/>
  <c r="N14" i="2"/>
  <c r="G30" i="2" s="1"/>
  <c r="G80" i="2" l="1"/>
  <c r="J10" i="2"/>
  <c r="O18" i="11" l="1"/>
  <c r="S43" i="9" l="1"/>
  <c r="S42" i="9" l="1"/>
  <c r="S41" i="9"/>
  <c r="S47" i="9" l="1"/>
  <c r="T33" i="9" l="1"/>
  <c r="R33" i="9"/>
  <c r="R34" i="9"/>
  <c r="T34" i="9"/>
  <c r="T36" i="9"/>
  <c r="R36" i="9"/>
  <c r="T32" i="9"/>
  <c r="R32" i="9"/>
  <c r="R35" i="9"/>
  <c r="T35" i="9"/>
  <c r="T31" i="9"/>
  <c r="R31" i="9"/>
  <c r="C6" i="14"/>
  <c r="P31" i="9"/>
  <c r="P32" i="9"/>
  <c r="P33" i="9"/>
  <c r="P34" i="9"/>
  <c r="P35" i="9"/>
  <c r="P36" i="9"/>
  <c r="O9" i="9"/>
  <c r="Q9" i="9" s="1"/>
  <c r="P9" i="9"/>
  <c r="O10" i="9"/>
  <c r="Q10" i="9" s="1"/>
  <c r="S20" i="9" s="1"/>
  <c r="U20" i="9" s="1"/>
  <c r="P10" i="9"/>
  <c r="O11" i="9"/>
  <c r="P11" i="9"/>
  <c r="O12" i="9"/>
  <c r="Q12" i="9" s="1"/>
  <c r="S22" i="9" s="1"/>
  <c r="U22" i="9" s="1"/>
  <c r="P12" i="9"/>
  <c r="O13" i="9"/>
  <c r="Q13" i="9" s="1"/>
  <c r="P13" i="9"/>
  <c r="O14" i="9"/>
  <c r="Q14" i="9" s="1"/>
  <c r="S24" i="9" s="1"/>
  <c r="U24" i="9" s="1"/>
  <c r="P14" i="9"/>
  <c r="J48" i="9"/>
  <c r="O19" i="9"/>
  <c r="R19" i="9" s="1"/>
  <c r="T19" i="9" s="1"/>
  <c r="O20" i="9"/>
  <c r="R20" i="9" s="1"/>
  <c r="T20" i="9" s="1"/>
  <c r="O21" i="9"/>
  <c r="R21" i="9" s="1"/>
  <c r="T21" i="9" s="1"/>
  <c r="O22" i="9"/>
  <c r="R22" i="9" s="1"/>
  <c r="T22" i="9" s="1"/>
  <c r="O23" i="9"/>
  <c r="R23" i="9" s="1"/>
  <c r="T23" i="9" s="1"/>
  <c r="O24" i="9"/>
  <c r="R24" i="9" s="1"/>
  <c r="T24" i="9" s="1"/>
  <c r="J28" i="9"/>
  <c r="Q30" i="9"/>
  <c r="Q37" i="9" s="1"/>
  <c r="J41" i="9"/>
  <c r="J59" i="9"/>
  <c r="J67" i="9"/>
  <c r="J81" i="9"/>
  <c r="J82" i="9"/>
  <c r="J97" i="9"/>
  <c r="J103" i="9"/>
  <c r="J115" i="9"/>
  <c r="J117" i="9"/>
  <c r="J128" i="9"/>
  <c r="J132" i="9"/>
  <c r="J144" i="9"/>
  <c r="J150" i="9"/>
  <c r="J161" i="9"/>
  <c r="J165" i="9"/>
  <c r="J179" i="9"/>
  <c r="J184" i="9"/>
  <c r="J195" i="9"/>
  <c r="J200" i="9"/>
  <c r="J211" i="9"/>
  <c r="J213" i="9"/>
  <c r="J224" i="9"/>
  <c r="J234" i="9"/>
  <c r="J246" i="9"/>
  <c r="J251" i="9"/>
  <c r="J264" i="9"/>
  <c r="J270" i="9"/>
  <c r="J283" i="9"/>
  <c r="J284" i="9"/>
  <c r="J303" i="9"/>
  <c r="J304" i="9"/>
  <c r="J314" i="9"/>
  <c r="J317" i="9"/>
  <c r="J331" i="9"/>
  <c r="J332" i="9"/>
  <c r="J343" i="9"/>
  <c r="J346" i="9"/>
  <c r="J356" i="9"/>
  <c r="J360" i="9"/>
  <c r="J370" i="9"/>
  <c r="J371" i="9"/>
  <c r="J381" i="9"/>
  <c r="J385" i="9"/>
  <c r="J392" i="9"/>
  <c r="J393" i="9"/>
  <c r="J400" i="9"/>
  <c r="J403" i="9"/>
  <c r="J412" i="9"/>
  <c r="J413" i="9"/>
  <c r="J418" i="9"/>
  <c r="J421" i="9"/>
  <c r="J427" i="9"/>
  <c r="J430" i="9"/>
  <c r="J435" i="9"/>
  <c r="J436" i="9"/>
  <c r="J442" i="9"/>
  <c r="J444" i="9"/>
  <c r="J449" i="9"/>
  <c r="J450" i="9"/>
  <c r="J456" i="9"/>
  <c r="J459" i="9"/>
  <c r="J464" i="9"/>
  <c r="J466" i="9"/>
  <c r="J471" i="9"/>
  <c r="J473" i="9"/>
  <c r="J477" i="9"/>
  <c r="J478" i="9"/>
  <c r="J484" i="9"/>
  <c r="J485" i="9"/>
  <c r="J491" i="9"/>
  <c r="J492" i="9"/>
  <c r="J498" i="9"/>
  <c r="J499" i="9"/>
  <c r="R13" i="9" l="1"/>
  <c r="T13" i="9" s="1"/>
  <c r="K498" i="9"/>
  <c r="L498" i="9"/>
  <c r="K484" i="9"/>
  <c r="L484" i="9"/>
  <c r="K471" i="9"/>
  <c r="L471" i="9"/>
  <c r="K456" i="9"/>
  <c r="L456" i="9"/>
  <c r="K442" i="9"/>
  <c r="L442" i="9"/>
  <c r="K427" i="9"/>
  <c r="L427" i="9"/>
  <c r="K412" i="9"/>
  <c r="L412" i="9"/>
  <c r="K392" i="9"/>
  <c r="L392" i="9"/>
  <c r="K370" i="9"/>
  <c r="L370" i="9"/>
  <c r="K343" i="9"/>
  <c r="L343" i="9"/>
  <c r="K314" i="9"/>
  <c r="L314" i="9"/>
  <c r="K283" i="9"/>
  <c r="L283" i="9"/>
  <c r="K246" i="9"/>
  <c r="L246" i="9"/>
  <c r="K211" i="9"/>
  <c r="L211" i="9"/>
  <c r="K179" i="9"/>
  <c r="L179" i="9"/>
  <c r="K144" i="9"/>
  <c r="L144" i="9"/>
  <c r="K115" i="9"/>
  <c r="L115" i="9"/>
  <c r="K81" i="9"/>
  <c r="L81" i="9"/>
  <c r="K48" i="9"/>
  <c r="L48" i="9"/>
  <c r="K492" i="9"/>
  <c r="L492" i="9"/>
  <c r="K478" i="9"/>
  <c r="L478" i="9"/>
  <c r="K466" i="9"/>
  <c r="L466" i="9"/>
  <c r="K450" i="9"/>
  <c r="L450" i="9"/>
  <c r="K436" i="9"/>
  <c r="L436" i="9"/>
  <c r="K421" i="9"/>
  <c r="L421" i="9"/>
  <c r="K403" i="9"/>
  <c r="L403" i="9"/>
  <c r="K385" i="9"/>
  <c r="L385" i="9"/>
  <c r="K360" i="9"/>
  <c r="L360" i="9"/>
  <c r="K332" i="9"/>
  <c r="L332" i="9"/>
  <c r="K304" i="9"/>
  <c r="L304" i="9"/>
  <c r="K270" i="9"/>
  <c r="L270" i="9"/>
  <c r="K234" i="9"/>
  <c r="L234" i="9"/>
  <c r="K200" i="9"/>
  <c r="L200" i="9"/>
  <c r="K165" i="9"/>
  <c r="L165" i="9"/>
  <c r="K132" i="9"/>
  <c r="L132" i="9"/>
  <c r="K103" i="9"/>
  <c r="L103" i="9"/>
  <c r="K67" i="9"/>
  <c r="L67" i="9"/>
  <c r="K28" i="9"/>
  <c r="L28" i="9"/>
  <c r="K491" i="9"/>
  <c r="L491" i="9"/>
  <c r="K477" i="9"/>
  <c r="L477" i="9"/>
  <c r="K464" i="9"/>
  <c r="L464" i="9"/>
  <c r="K449" i="9"/>
  <c r="L449" i="9"/>
  <c r="K435" i="9"/>
  <c r="L435" i="9"/>
  <c r="K418" i="9"/>
  <c r="L418" i="9"/>
  <c r="K400" i="9"/>
  <c r="L400" i="9"/>
  <c r="K381" i="9"/>
  <c r="L381" i="9"/>
  <c r="K356" i="9"/>
  <c r="L356" i="9"/>
  <c r="K331" i="9"/>
  <c r="L331" i="9"/>
  <c r="K303" i="9"/>
  <c r="L303" i="9"/>
  <c r="K264" i="9"/>
  <c r="L264" i="9"/>
  <c r="K224" i="9"/>
  <c r="L224" i="9"/>
  <c r="K195" i="9"/>
  <c r="L195" i="9"/>
  <c r="K161" i="9"/>
  <c r="L161" i="9"/>
  <c r="K128" i="9"/>
  <c r="L128" i="9"/>
  <c r="K97" i="9"/>
  <c r="L97" i="9"/>
  <c r="K59" i="9"/>
  <c r="L59" i="9"/>
  <c r="K499" i="9"/>
  <c r="L499" i="9"/>
  <c r="K485" i="9"/>
  <c r="L485" i="9"/>
  <c r="K473" i="9"/>
  <c r="L473" i="9"/>
  <c r="K459" i="9"/>
  <c r="L459" i="9"/>
  <c r="K444" i="9"/>
  <c r="L444" i="9"/>
  <c r="K430" i="9"/>
  <c r="L430" i="9"/>
  <c r="K413" i="9"/>
  <c r="L413" i="9"/>
  <c r="K393" i="9"/>
  <c r="L393" i="9"/>
  <c r="K371" i="9"/>
  <c r="L371" i="9"/>
  <c r="K346" i="9"/>
  <c r="L346" i="9"/>
  <c r="K317" i="9"/>
  <c r="L317" i="9"/>
  <c r="K284" i="9"/>
  <c r="L284" i="9"/>
  <c r="K251" i="9"/>
  <c r="L251" i="9"/>
  <c r="K213" i="9"/>
  <c r="L213" i="9"/>
  <c r="K184" i="9"/>
  <c r="L184" i="9"/>
  <c r="K150" i="9"/>
  <c r="L150" i="9"/>
  <c r="K117" i="9"/>
  <c r="L117" i="9"/>
  <c r="K82" i="9"/>
  <c r="L82" i="9"/>
  <c r="K41" i="9"/>
  <c r="L41" i="9"/>
  <c r="J496" i="9"/>
  <c r="J489" i="9"/>
  <c r="J482" i="9"/>
  <c r="J470" i="9"/>
  <c r="J463" i="9"/>
  <c r="J454" i="9"/>
  <c r="J446" i="9"/>
  <c r="J441" i="9"/>
  <c r="J432" i="9"/>
  <c r="J425" i="9"/>
  <c r="J417" i="9"/>
  <c r="J409" i="9"/>
  <c r="J399" i="9"/>
  <c r="J389" i="9"/>
  <c r="J378" i="9"/>
  <c r="J364" i="9"/>
  <c r="J352" i="9"/>
  <c r="J342" i="9"/>
  <c r="J324" i="9"/>
  <c r="J313" i="9"/>
  <c r="J294" i="9"/>
  <c r="J277" i="9"/>
  <c r="J260" i="9"/>
  <c r="J240" i="9"/>
  <c r="J223" i="9"/>
  <c r="J205" i="9"/>
  <c r="J191" i="9"/>
  <c r="J174" i="9"/>
  <c r="J159" i="9"/>
  <c r="J140" i="9"/>
  <c r="J127" i="9"/>
  <c r="J108" i="9"/>
  <c r="J94" i="9"/>
  <c r="J74" i="9"/>
  <c r="J52" i="9"/>
  <c r="J36" i="9"/>
  <c r="J494" i="9"/>
  <c r="J488" i="9"/>
  <c r="J480" i="9"/>
  <c r="J474" i="9"/>
  <c r="J468" i="9"/>
  <c r="J460" i="9"/>
  <c r="J452" i="9"/>
  <c r="J445" i="9"/>
  <c r="J438" i="9"/>
  <c r="J431" i="9"/>
  <c r="J422" i="9"/>
  <c r="J416" i="9"/>
  <c r="J407" i="9"/>
  <c r="J395" i="9"/>
  <c r="J386" i="9"/>
  <c r="J375" i="9"/>
  <c r="J361" i="9"/>
  <c r="J350" i="9"/>
  <c r="J336" i="9"/>
  <c r="J322" i="9"/>
  <c r="J308" i="9"/>
  <c r="J289" i="9"/>
  <c r="J271" i="9"/>
  <c r="J257" i="9"/>
  <c r="J236" i="9"/>
  <c r="J217" i="9"/>
  <c r="J201" i="9"/>
  <c r="J189" i="9"/>
  <c r="J170" i="9"/>
  <c r="J151" i="9"/>
  <c r="J138" i="9"/>
  <c r="J122" i="9"/>
  <c r="J104" i="9"/>
  <c r="J85" i="9"/>
  <c r="J68" i="9"/>
  <c r="Q11" i="9"/>
  <c r="R11" i="9"/>
  <c r="T11" i="9" s="1"/>
  <c r="S19" i="9"/>
  <c r="U19" i="9" s="1"/>
  <c r="S9" i="9"/>
  <c r="U9" i="9" s="1"/>
  <c r="J8" i="9"/>
  <c r="J32" i="9"/>
  <c r="J45" i="9"/>
  <c r="J49" i="9"/>
  <c r="J55" i="9"/>
  <c r="J60" i="9"/>
  <c r="J64" i="9"/>
  <c r="J69" i="9"/>
  <c r="J73" i="9"/>
  <c r="J77" i="9"/>
  <c r="J80" i="9"/>
  <c r="J86" i="9"/>
  <c r="J90" i="9"/>
  <c r="J93" i="9"/>
  <c r="J102" i="9"/>
  <c r="J106" i="9"/>
  <c r="J109" i="9"/>
  <c r="J112" i="9"/>
  <c r="J116" i="9"/>
  <c r="J120" i="9"/>
  <c r="J129" i="9"/>
  <c r="J131" i="9"/>
  <c r="J135" i="9"/>
  <c r="J139" i="9"/>
  <c r="J143" i="9"/>
  <c r="J146" i="9"/>
  <c r="J148" i="9"/>
  <c r="J152" i="9"/>
  <c r="J162" i="9"/>
  <c r="J173" i="9"/>
  <c r="J178" i="9"/>
  <c r="J181" i="9"/>
  <c r="J185" i="9"/>
  <c r="J188" i="9"/>
  <c r="J196" i="9"/>
  <c r="J199" i="9"/>
  <c r="J202" i="9"/>
  <c r="J206" i="9"/>
  <c r="J209" i="9"/>
  <c r="J212" i="9"/>
  <c r="J215" i="9"/>
  <c r="J218" i="9"/>
  <c r="J222" i="9"/>
  <c r="J225" i="9"/>
  <c r="J228" i="9"/>
  <c r="J231" i="9"/>
  <c r="J235" i="9"/>
  <c r="J239" i="9"/>
  <c r="J242" i="9"/>
  <c r="J247" i="9"/>
  <c r="J250" i="9"/>
  <c r="J254" i="9"/>
  <c r="J258" i="9"/>
  <c r="J262" i="9"/>
  <c r="J265" i="9"/>
  <c r="J268" i="9"/>
  <c r="J272" i="9"/>
  <c r="J276" i="9"/>
  <c r="J286" i="9"/>
  <c r="J21" i="9"/>
  <c r="J23" i="9"/>
  <c r="J39" i="9"/>
  <c r="J43" i="9"/>
  <c r="J51" i="9"/>
  <c r="J57" i="9"/>
  <c r="J63" i="9"/>
  <c r="J75" i="9"/>
  <c r="J83" i="9"/>
  <c r="J88" i="9"/>
  <c r="J92" i="9"/>
  <c r="J96" i="9"/>
  <c r="J100" i="9"/>
  <c r="J105" i="9"/>
  <c r="J110" i="9"/>
  <c r="J114" i="9"/>
  <c r="J119" i="9"/>
  <c r="J124" i="9"/>
  <c r="J136" i="9"/>
  <c r="J141" i="9"/>
  <c r="J145" i="9"/>
  <c r="J149" i="9"/>
  <c r="J153" i="9"/>
  <c r="J156" i="9"/>
  <c r="J160" i="9"/>
  <c r="J164" i="9"/>
  <c r="J168" i="9"/>
  <c r="J171" i="9"/>
  <c r="J182" i="9"/>
  <c r="J190" i="9"/>
  <c r="J194" i="9"/>
  <c r="J207" i="9"/>
  <c r="J219" i="9"/>
  <c r="J227" i="9"/>
  <c r="J232" i="9"/>
  <c r="J237" i="9"/>
  <c r="J241" i="9"/>
  <c r="J245" i="9"/>
  <c r="J249" i="9"/>
  <c r="J253" i="9"/>
  <c r="J259" i="9"/>
  <c r="J267" i="9"/>
  <c r="J273" i="9"/>
  <c r="J278" i="9"/>
  <c r="J282" i="9"/>
  <c r="J287" i="9"/>
  <c r="J291" i="9"/>
  <c r="J295" i="9"/>
  <c r="J298" i="9"/>
  <c r="J301" i="9"/>
  <c r="J305" i="9"/>
  <c r="J309" i="9"/>
  <c r="J312" i="9"/>
  <c r="J315" i="9"/>
  <c r="J319" i="9"/>
  <c r="J323" i="9"/>
  <c r="J327" i="9"/>
  <c r="J330" i="9"/>
  <c r="J333" i="9"/>
  <c r="J337" i="9"/>
  <c r="J341" i="9"/>
  <c r="J344" i="9"/>
  <c r="J347" i="9"/>
  <c r="J351" i="9"/>
  <c r="J355" i="9"/>
  <c r="J359" i="9"/>
  <c r="J362" i="9"/>
  <c r="J365" i="9"/>
  <c r="J369" i="9"/>
  <c r="J373" i="9"/>
  <c r="J37" i="9"/>
  <c r="J46" i="9"/>
  <c r="J53" i="9"/>
  <c r="J71" i="9"/>
  <c r="J78" i="9"/>
  <c r="J89" i="9"/>
  <c r="J99" i="9"/>
  <c r="J107" i="9"/>
  <c r="J111" i="9"/>
  <c r="J118" i="9"/>
  <c r="J125" i="9"/>
  <c r="J130" i="9"/>
  <c r="J134" i="9"/>
  <c r="J142" i="9"/>
  <c r="J157" i="9"/>
  <c r="J167" i="9"/>
  <c r="J172" i="9"/>
  <c r="J176" i="9"/>
  <c r="J180" i="9"/>
  <c r="J187" i="9"/>
  <c r="J192" i="9"/>
  <c r="J197" i="9"/>
  <c r="J203" i="9"/>
  <c r="J208" i="9"/>
  <c r="J214" i="9"/>
  <c r="J220" i="9"/>
  <c r="J226" i="9"/>
  <c r="J230" i="9"/>
  <c r="J238" i="9"/>
  <c r="J243" i="9"/>
  <c r="J248" i="9"/>
  <c r="J255" i="9"/>
  <c r="J261" i="9"/>
  <c r="J274" i="9"/>
  <c r="J280" i="9"/>
  <c r="J285" i="9"/>
  <c r="J292" i="9"/>
  <c r="J296" i="9"/>
  <c r="J300" i="9"/>
  <c r="J306" i="9"/>
  <c r="J311" i="9"/>
  <c r="J320" i="9"/>
  <c r="J325" i="9"/>
  <c r="J329" i="9"/>
  <c r="J334" i="9"/>
  <c r="J339" i="9"/>
  <c r="J348" i="9"/>
  <c r="J353" i="9"/>
  <c r="J358" i="9"/>
  <c r="J367" i="9"/>
  <c r="J372" i="9"/>
  <c r="J376" i="9"/>
  <c r="J379" i="9"/>
  <c r="J383" i="9"/>
  <c r="J387" i="9"/>
  <c r="J391" i="9"/>
  <c r="J394" i="9"/>
  <c r="J397" i="9"/>
  <c r="J401" i="9"/>
  <c r="J405" i="9"/>
  <c r="J408" i="9"/>
  <c r="J411" i="9"/>
  <c r="J415" i="9"/>
  <c r="J419" i="9"/>
  <c r="J423" i="9"/>
  <c r="J426" i="9"/>
  <c r="J429" i="9"/>
  <c r="J433" i="9"/>
  <c r="J437" i="9"/>
  <c r="J440" i="9"/>
  <c r="J443" i="9"/>
  <c r="J447" i="9"/>
  <c r="J451" i="9"/>
  <c r="J455" i="9"/>
  <c r="J458" i="9"/>
  <c r="J461" i="9"/>
  <c r="J465" i="9"/>
  <c r="J469" i="9"/>
  <c r="J472" i="9"/>
  <c r="J475" i="9"/>
  <c r="J479" i="9"/>
  <c r="J483" i="9"/>
  <c r="J487" i="9"/>
  <c r="J490" i="9"/>
  <c r="J493" i="9"/>
  <c r="J497" i="9"/>
  <c r="J20" i="9"/>
  <c r="J24" i="9"/>
  <c r="J47" i="9"/>
  <c r="J56" i="9"/>
  <c r="J65" i="9"/>
  <c r="J72" i="9"/>
  <c r="J79" i="9"/>
  <c r="J84" i="9"/>
  <c r="J91" i="9"/>
  <c r="J95" i="9"/>
  <c r="J101" i="9"/>
  <c r="J113" i="9"/>
  <c r="J121" i="9"/>
  <c r="J126" i="9"/>
  <c r="J137" i="9"/>
  <c r="J147" i="9"/>
  <c r="J154" i="9"/>
  <c r="J158" i="9"/>
  <c r="J163" i="9"/>
  <c r="J169" i="9"/>
  <c r="J177" i="9"/>
  <c r="J183" i="9"/>
  <c r="J193" i="9"/>
  <c r="J198" i="9"/>
  <c r="J204" i="9"/>
  <c r="J210" i="9"/>
  <c r="J216" i="9"/>
  <c r="J221" i="9"/>
  <c r="J233" i="9"/>
  <c r="J244" i="9"/>
  <c r="J256" i="9"/>
  <c r="J263" i="9"/>
  <c r="J269" i="9"/>
  <c r="J275" i="9"/>
  <c r="J281" i="9"/>
  <c r="J288" i="9"/>
  <c r="J293" i="9"/>
  <c r="J297" i="9"/>
  <c r="J302" i="9"/>
  <c r="J307" i="9"/>
  <c r="J316" i="9"/>
  <c r="J321" i="9"/>
  <c r="J326" i="9"/>
  <c r="J335" i="9"/>
  <c r="J340" i="9"/>
  <c r="J345" i="9"/>
  <c r="J349" i="9"/>
  <c r="J354" i="9"/>
  <c r="J363" i="9"/>
  <c r="J368" i="9"/>
  <c r="J374" i="9"/>
  <c r="J377" i="9"/>
  <c r="J380" i="9"/>
  <c r="J384" i="9"/>
  <c r="J388" i="9"/>
  <c r="J398" i="9"/>
  <c r="J402" i="9"/>
  <c r="J406" i="9"/>
  <c r="J500" i="9"/>
  <c r="J495" i="9"/>
  <c r="J486" i="9"/>
  <c r="J481" i="9"/>
  <c r="J476" i="9"/>
  <c r="J467" i="9"/>
  <c r="J462" i="9"/>
  <c r="J457" i="9"/>
  <c r="J453" i="9"/>
  <c r="J448" i="9"/>
  <c r="J439" i="9"/>
  <c r="J434" i="9"/>
  <c r="J428" i="9"/>
  <c r="J424" i="9"/>
  <c r="J420" i="9"/>
  <c r="J414" i="9"/>
  <c r="J410" i="9"/>
  <c r="J404" i="9"/>
  <c r="J396" i="9"/>
  <c r="J390" i="9"/>
  <c r="J382" i="9"/>
  <c r="J366" i="9"/>
  <c r="J357" i="9"/>
  <c r="J338" i="9"/>
  <c r="J328" i="9"/>
  <c r="J318" i="9"/>
  <c r="J310" i="9"/>
  <c r="J299" i="9"/>
  <c r="J290" i="9"/>
  <c r="J279" i="9"/>
  <c r="J266" i="9"/>
  <c r="J252" i="9"/>
  <c r="J229" i="9"/>
  <c r="J186" i="9"/>
  <c r="J175" i="9"/>
  <c r="J166" i="9"/>
  <c r="J155" i="9"/>
  <c r="J133" i="9"/>
  <c r="J123" i="9"/>
  <c r="J98" i="9"/>
  <c r="J87" i="9"/>
  <c r="J76" i="9"/>
  <c r="J61" i="9"/>
  <c r="J42" i="9"/>
  <c r="J35" i="9"/>
  <c r="S13" i="9"/>
  <c r="U13" i="9" s="1"/>
  <c r="S23" i="9"/>
  <c r="U23" i="9" s="1"/>
  <c r="R9" i="9"/>
  <c r="T9" i="9" s="1"/>
  <c r="O9" i="11"/>
  <c r="U29" i="9" a="1"/>
  <c r="U29" i="9" s="1"/>
  <c r="G41" i="2" s="1"/>
  <c r="O8" i="9"/>
  <c r="P8" i="9"/>
  <c r="P30" i="9"/>
  <c r="S30" i="9"/>
  <c r="O30" i="9"/>
  <c r="J70" i="9"/>
  <c r="J66" i="9"/>
  <c r="J62" i="9"/>
  <c r="J58" i="9"/>
  <c r="J54" i="9"/>
  <c r="J50" i="9"/>
  <c r="J44" i="9"/>
  <c r="J40" i="9"/>
  <c r="J38" i="9"/>
  <c r="J31" i="9"/>
  <c r="J30" i="9"/>
  <c r="J29" i="9"/>
  <c r="J27" i="9"/>
  <c r="J25" i="9"/>
  <c r="O18" i="9"/>
  <c r="P25" i="9" s="1"/>
  <c r="J18" i="9"/>
  <c r="J11" i="9"/>
  <c r="J13" i="9"/>
  <c r="J15" i="9"/>
  <c r="J16" i="9"/>
  <c r="J22" i="9"/>
  <c r="J26" i="9"/>
  <c r="J33" i="9"/>
  <c r="J34" i="9"/>
  <c r="J17" i="9"/>
  <c r="J14" i="9"/>
  <c r="J12" i="9"/>
  <c r="J10" i="9"/>
  <c r="J19" i="9"/>
  <c r="R14" i="9"/>
  <c r="T14" i="9" s="1"/>
  <c r="S14" i="9"/>
  <c r="U14" i="9" s="1"/>
  <c r="R12" i="9"/>
  <c r="T12" i="9" s="1"/>
  <c r="S12" i="9"/>
  <c r="U12" i="9" s="1"/>
  <c r="R10" i="9"/>
  <c r="T10" i="9" s="1"/>
  <c r="S10" i="9"/>
  <c r="U10" i="9" s="1"/>
  <c r="J9" i="9"/>
  <c r="L9" i="9" s="1"/>
  <c r="K33" i="9" l="1"/>
  <c r="L33" i="9"/>
  <c r="K30" i="9"/>
  <c r="L30" i="9"/>
  <c r="K76" i="9"/>
  <c r="L76" i="9"/>
  <c r="K26" i="9"/>
  <c r="L26" i="9"/>
  <c r="K25" i="9"/>
  <c r="U33" i="9" s="1"/>
  <c r="L25" i="9"/>
  <c r="K50" i="9"/>
  <c r="L50" i="9"/>
  <c r="K10" i="9"/>
  <c r="L10" i="9"/>
  <c r="K34" i="9"/>
  <c r="L34" i="9"/>
  <c r="K16" i="9"/>
  <c r="L16" i="9"/>
  <c r="K18" i="9"/>
  <c r="L18" i="9"/>
  <c r="K29" i="9"/>
  <c r="L29" i="9"/>
  <c r="K40" i="9"/>
  <c r="L40" i="9"/>
  <c r="K58" i="9"/>
  <c r="L58" i="9"/>
  <c r="K61" i="9"/>
  <c r="L61" i="9"/>
  <c r="K123" i="9"/>
  <c r="L123" i="9"/>
  <c r="K175" i="9"/>
  <c r="L175" i="9"/>
  <c r="K266" i="9"/>
  <c r="L266" i="9"/>
  <c r="K310" i="9"/>
  <c r="L310" i="9"/>
  <c r="K357" i="9"/>
  <c r="L357" i="9"/>
  <c r="K396" i="9"/>
  <c r="L396" i="9"/>
  <c r="K420" i="9"/>
  <c r="L420" i="9"/>
  <c r="K439" i="9"/>
  <c r="L439" i="9"/>
  <c r="K462" i="9"/>
  <c r="L462" i="9"/>
  <c r="K486" i="9"/>
  <c r="L486" i="9"/>
  <c r="K402" i="9"/>
  <c r="L402" i="9"/>
  <c r="K380" i="9"/>
  <c r="L380" i="9"/>
  <c r="K363" i="9"/>
  <c r="L363" i="9"/>
  <c r="K340" i="9"/>
  <c r="L340" i="9"/>
  <c r="K316" i="9"/>
  <c r="L316" i="9"/>
  <c r="K293" i="9"/>
  <c r="L293" i="9"/>
  <c r="K269" i="9"/>
  <c r="L269" i="9"/>
  <c r="K233" i="9"/>
  <c r="L233" i="9"/>
  <c r="K204" i="9"/>
  <c r="L204" i="9"/>
  <c r="K177" i="9"/>
  <c r="L177" i="9"/>
  <c r="K154" i="9"/>
  <c r="L154" i="9"/>
  <c r="K121" i="9"/>
  <c r="L121" i="9"/>
  <c r="K91" i="9"/>
  <c r="L91" i="9"/>
  <c r="K65" i="9"/>
  <c r="L65" i="9"/>
  <c r="K20" i="9"/>
  <c r="L20" i="9"/>
  <c r="K487" i="9"/>
  <c r="L487" i="9"/>
  <c r="K472" i="9"/>
  <c r="L472" i="9"/>
  <c r="K458" i="9"/>
  <c r="L458" i="9"/>
  <c r="K443" i="9"/>
  <c r="L443" i="9"/>
  <c r="K429" i="9"/>
  <c r="L429" i="9"/>
  <c r="K415" i="9"/>
  <c r="L415" i="9"/>
  <c r="K401" i="9"/>
  <c r="L401" i="9"/>
  <c r="K387" i="9"/>
  <c r="L387" i="9"/>
  <c r="K372" i="9"/>
  <c r="L372" i="9"/>
  <c r="K348" i="9"/>
  <c r="L348" i="9"/>
  <c r="K325" i="9"/>
  <c r="L325" i="9"/>
  <c r="K300" i="9"/>
  <c r="L300" i="9"/>
  <c r="K280" i="9"/>
  <c r="L280" i="9"/>
  <c r="K248" i="9"/>
  <c r="L248" i="9"/>
  <c r="K226" i="9"/>
  <c r="L226" i="9"/>
  <c r="K203" i="9"/>
  <c r="L203" i="9"/>
  <c r="K180" i="9"/>
  <c r="L180" i="9"/>
  <c r="K157" i="9"/>
  <c r="L157" i="9"/>
  <c r="K125" i="9"/>
  <c r="L125" i="9"/>
  <c r="K99" i="9"/>
  <c r="L99" i="9"/>
  <c r="K53" i="9"/>
  <c r="L53" i="9"/>
  <c r="K369" i="9"/>
  <c r="L369" i="9"/>
  <c r="K355" i="9"/>
  <c r="L355" i="9"/>
  <c r="K341" i="9"/>
  <c r="L341" i="9"/>
  <c r="K327" i="9"/>
  <c r="L327" i="9"/>
  <c r="K312" i="9"/>
  <c r="L312" i="9"/>
  <c r="K298" i="9"/>
  <c r="L298" i="9"/>
  <c r="K282" i="9"/>
  <c r="L282" i="9"/>
  <c r="K259" i="9"/>
  <c r="L259" i="9"/>
  <c r="K241" i="9"/>
  <c r="L241" i="9"/>
  <c r="K219" i="9"/>
  <c r="L219" i="9"/>
  <c r="K182" i="9"/>
  <c r="L182" i="9"/>
  <c r="K160" i="9"/>
  <c r="L160" i="9"/>
  <c r="K145" i="9"/>
  <c r="L145" i="9"/>
  <c r="K119" i="9"/>
  <c r="L119" i="9"/>
  <c r="K100" i="9"/>
  <c r="L100" i="9"/>
  <c r="K83" i="9"/>
  <c r="L83" i="9"/>
  <c r="K51" i="9"/>
  <c r="L51" i="9"/>
  <c r="K21" i="9"/>
  <c r="L21" i="9"/>
  <c r="K268" i="9"/>
  <c r="L268" i="9"/>
  <c r="K254" i="9"/>
  <c r="L254" i="9"/>
  <c r="K239" i="9"/>
  <c r="L239" i="9"/>
  <c r="K225" i="9"/>
  <c r="L225" i="9"/>
  <c r="K212" i="9"/>
  <c r="L212" i="9"/>
  <c r="K199" i="9"/>
  <c r="L199" i="9"/>
  <c r="K181" i="9"/>
  <c r="L181" i="9"/>
  <c r="K152" i="9"/>
  <c r="L152" i="9"/>
  <c r="K139" i="9"/>
  <c r="L139" i="9"/>
  <c r="K120" i="9"/>
  <c r="L120" i="9"/>
  <c r="K106" i="9"/>
  <c r="L106" i="9"/>
  <c r="K86" i="9"/>
  <c r="L86" i="9"/>
  <c r="K69" i="9"/>
  <c r="L69" i="9"/>
  <c r="K49" i="9"/>
  <c r="L49" i="9"/>
  <c r="K68" i="9"/>
  <c r="L68" i="9"/>
  <c r="K138" i="9"/>
  <c r="L138" i="9"/>
  <c r="K201" i="9"/>
  <c r="L201" i="9"/>
  <c r="K271" i="9"/>
  <c r="L271" i="9"/>
  <c r="K336" i="9"/>
  <c r="L336" i="9"/>
  <c r="K386" i="9"/>
  <c r="L386" i="9"/>
  <c r="K422" i="9"/>
  <c r="L422" i="9"/>
  <c r="K452" i="9"/>
  <c r="L452" i="9"/>
  <c r="K480" i="9"/>
  <c r="L480" i="9"/>
  <c r="K52" i="9"/>
  <c r="L52" i="9"/>
  <c r="K127" i="9"/>
  <c r="L127" i="9"/>
  <c r="K191" i="9"/>
  <c r="L191" i="9"/>
  <c r="K260" i="9"/>
  <c r="L260" i="9"/>
  <c r="K324" i="9"/>
  <c r="L324" i="9"/>
  <c r="K378" i="9"/>
  <c r="L378" i="9"/>
  <c r="K417" i="9"/>
  <c r="L417" i="9"/>
  <c r="K446" i="9"/>
  <c r="L446" i="9"/>
  <c r="K482" i="9"/>
  <c r="L482" i="9"/>
  <c r="K12" i="9"/>
  <c r="L12" i="9"/>
  <c r="K15" i="9"/>
  <c r="L15" i="9"/>
  <c r="K62" i="9"/>
  <c r="L62" i="9"/>
  <c r="K133" i="9"/>
  <c r="L133" i="9"/>
  <c r="K186" i="9"/>
  <c r="L186" i="9"/>
  <c r="K279" i="9"/>
  <c r="L279" i="9"/>
  <c r="K318" i="9"/>
  <c r="L318" i="9"/>
  <c r="K366" i="9"/>
  <c r="L366" i="9"/>
  <c r="K404" i="9"/>
  <c r="L404" i="9"/>
  <c r="K424" i="9"/>
  <c r="L424" i="9"/>
  <c r="K448" i="9"/>
  <c r="L448" i="9"/>
  <c r="K467" i="9"/>
  <c r="L467" i="9"/>
  <c r="K495" i="9"/>
  <c r="L495" i="9"/>
  <c r="K398" i="9"/>
  <c r="L398" i="9"/>
  <c r="K377" i="9"/>
  <c r="L377" i="9"/>
  <c r="K354" i="9"/>
  <c r="L354" i="9"/>
  <c r="K335" i="9"/>
  <c r="L335" i="9"/>
  <c r="K307" i="9"/>
  <c r="L307" i="9"/>
  <c r="K288" i="9"/>
  <c r="L288" i="9"/>
  <c r="K263" i="9"/>
  <c r="L263" i="9"/>
  <c r="K221" i="9"/>
  <c r="L221" i="9"/>
  <c r="K198" i="9"/>
  <c r="L198" i="9"/>
  <c r="K169" i="9"/>
  <c r="L169" i="9"/>
  <c r="K147" i="9"/>
  <c r="L147" i="9"/>
  <c r="K113" i="9"/>
  <c r="L113" i="9"/>
  <c r="K84" i="9"/>
  <c r="L84" i="9"/>
  <c r="K56" i="9"/>
  <c r="L56" i="9"/>
  <c r="K497" i="9"/>
  <c r="L497" i="9"/>
  <c r="K483" i="9"/>
  <c r="L483" i="9"/>
  <c r="K469" i="9"/>
  <c r="L469" i="9"/>
  <c r="K455" i="9"/>
  <c r="L455" i="9"/>
  <c r="K440" i="9"/>
  <c r="L440" i="9"/>
  <c r="K426" i="9"/>
  <c r="L426" i="9"/>
  <c r="K411" i="9"/>
  <c r="L411" i="9"/>
  <c r="K397" i="9"/>
  <c r="L397" i="9"/>
  <c r="K383" i="9"/>
  <c r="L383" i="9"/>
  <c r="K367" i="9"/>
  <c r="L367" i="9"/>
  <c r="K339" i="9"/>
  <c r="L339" i="9"/>
  <c r="K320" i="9"/>
  <c r="L320" i="9"/>
  <c r="K296" i="9"/>
  <c r="L296" i="9"/>
  <c r="K274" i="9"/>
  <c r="L274" i="9"/>
  <c r="K243" i="9"/>
  <c r="L243" i="9"/>
  <c r="K220" i="9"/>
  <c r="L220" i="9"/>
  <c r="K197" i="9"/>
  <c r="L197" i="9"/>
  <c r="K176" i="9"/>
  <c r="L176" i="9"/>
  <c r="K142" i="9"/>
  <c r="L142" i="9"/>
  <c r="K118" i="9"/>
  <c r="L118" i="9"/>
  <c r="K89" i="9"/>
  <c r="L89" i="9"/>
  <c r="K46" i="9"/>
  <c r="L46" i="9"/>
  <c r="K365" i="9"/>
  <c r="L365" i="9"/>
  <c r="K351" i="9"/>
  <c r="L351" i="9"/>
  <c r="K337" i="9"/>
  <c r="L337" i="9"/>
  <c r="K323" i="9"/>
  <c r="L323" i="9"/>
  <c r="K309" i="9"/>
  <c r="L309" i="9"/>
  <c r="K295" i="9"/>
  <c r="L295" i="9"/>
  <c r="K278" i="9"/>
  <c r="L278" i="9"/>
  <c r="K253" i="9"/>
  <c r="L253" i="9"/>
  <c r="K237" i="9"/>
  <c r="L237" i="9"/>
  <c r="K207" i="9"/>
  <c r="L207" i="9"/>
  <c r="K171" i="9"/>
  <c r="L171" i="9"/>
  <c r="K156" i="9"/>
  <c r="L156" i="9"/>
  <c r="K141" i="9"/>
  <c r="L141" i="9"/>
  <c r="K114" i="9"/>
  <c r="L114" i="9"/>
  <c r="K96" i="9"/>
  <c r="L96" i="9"/>
  <c r="K75" i="9"/>
  <c r="L75" i="9"/>
  <c r="K43" i="9"/>
  <c r="L43" i="9"/>
  <c r="K286" i="9"/>
  <c r="L286" i="9"/>
  <c r="K265" i="9"/>
  <c r="L265" i="9"/>
  <c r="K250" i="9"/>
  <c r="L250" i="9"/>
  <c r="K235" i="9"/>
  <c r="L235" i="9"/>
  <c r="K222" i="9"/>
  <c r="L222" i="9"/>
  <c r="K209" i="9"/>
  <c r="L209" i="9"/>
  <c r="K196" i="9"/>
  <c r="L196" i="9"/>
  <c r="K178" i="9"/>
  <c r="L178" i="9"/>
  <c r="K148" i="9"/>
  <c r="L148" i="9"/>
  <c r="K135" i="9"/>
  <c r="L135" i="9"/>
  <c r="K116" i="9"/>
  <c r="L116" i="9"/>
  <c r="K102" i="9"/>
  <c r="L102" i="9"/>
  <c r="K80" i="9"/>
  <c r="L80" i="9"/>
  <c r="K64" i="9"/>
  <c r="L64" i="9"/>
  <c r="K45" i="9"/>
  <c r="L45" i="9"/>
  <c r="K85" i="9"/>
  <c r="L85" i="9"/>
  <c r="K151" i="9"/>
  <c r="L151" i="9"/>
  <c r="K217" i="9"/>
  <c r="L217" i="9"/>
  <c r="K289" i="9"/>
  <c r="L289" i="9"/>
  <c r="K350" i="9"/>
  <c r="L350" i="9"/>
  <c r="K395" i="9"/>
  <c r="L395" i="9"/>
  <c r="K431" i="9"/>
  <c r="L431" i="9"/>
  <c r="K460" i="9"/>
  <c r="L460" i="9"/>
  <c r="K488" i="9"/>
  <c r="L488" i="9"/>
  <c r="K74" i="9"/>
  <c r="L74" i="9"/>
  <c r="K140" i="9"/>
  <c r="L140" i="9"/>
  <c r="K205" i="9"/>
  <c r="L205" i="9"/>
  <c r="K277" i="9"/>
  <c r="L277" i="9"/>
  <c r="K342" i="9"/>
  <c r="L342" i="9"/>
  <c r="K389" i="9"/>
  <c r="L389" i="9"/>
  <c r="K425" i="9"/>
  <c r="L425" i="9"/>
  <c r="K454" i="9"/>
  <c r="L454" i="9"/>
  <c r="K489" i="9"/>
  <c r="L489" i="9"/>
  <c r="K87" i="9"/>
  <c r="L87" i="9"/>
  <c r="K155" i="9"/>
  <c r="L155" i="9"/>
  <c r="K229" i="9"/>
  <c r="L229" i="9"/>
  <c r="K290" i="9"/>
  <c r="L290" i="9"/>
  <c r="K328" i="9"/>
  <c r="L328" i="9"/>
  <c r="K382" i="9"/>
  <c r="L382" i="9"/>
  <c r="K410" i="9"/>
  <c r="L410" i="9"/>
  <c r="K428" i="9"/>
  <c r="L428" i="9"/>
  <c r="K453" i="9"/>
  <c r="L453" i="9"/>
  <c r="K476" i="9"/>
  <c r="L476" i="9"/>
  <c r="K500" i="9"/>
  <c r="L500" i="9"/>
  <c r="K388" i="9"/>
  <c r="L388" i="9"/>
  <c r="K374" i="9"/>
  <c r="L374" i="9"/>
  <c r="K349" i="9"/>
  <c r="L349" i="9"/>
  <c r="K326" i="9"/>
  <c r="L326" i="9"/>
  <c r="K302" i="9"/>
  <c r="L302" i="9"/>
  <c r="K281" i="9"/>
  <c r="L281" i="9"/>
  <c r="K256" i="9"/>
  <c r="L256" i="9"/>
  <c r="K216" i="9"/>
  <c r="L216" i="9"/>
  <c r="K193" i="9"/>
  <c r="L193" i="9"/>
  <c r="K163" i="9"/>
  <c r="L163" i="9"/>
  <c r="K137" i="9"/>
  <c r="L137" i="9"/>
  <c r="K101" i="9"/>
  <c r="L101" i="9"/>
  <c r="K79" i="9"/>
  <c r="L79" i="9"/>
  <c r="K47" i="9"/>
  <c r="L47" i="9"/>
  <c r="K493" i="9"/>
  <c r="L493" i="9"/>
  <c r="K479" i="9"/>
  <c r="L479" i="9"/>
  <c r="K465" i="9"/>
  <c r="L465" i="9"/>
  <c r="K451" i="9"/>
  <c r="L451" i="9"/>
  <c r="K437" i="9"/>
  <c r="L437" i="9"/>
  <c r="K423" i="9"/>
  <c r="L423" i="9"/>
  <c r="K408" i="9"/>
  <c r="L408" i="9"/>
  <c r="K394" i="9"/>
  <c r="L394" i="9"/>
  <c r="K379" i="9"/>
  <c r="L379" i="9"/>
  <c r="K358" i="9"/>
  <c r="L358" i="9"/>
  <c r="K334" i="9"/>
  <c r="L334" i="9"/>
  <c r="K311" i="9"/>
  <c r="L311" i="9"/>
  <c r="K292" i="9"/>
  <c r="L292" i="9"/>
  <c r="K261" i="9"/>
  <c r="L261" i="9"/>
  <c r="K238" i="9"/>
  <c r="L238" i="9"/>
  <c r="K214" i="9"/>
  <c r="L214" i="9"/>
  <c r="K192" i="9"/>
  <c r="L192" i="9"/>
  <c r="K172" i="9"/>
  <c r="L172" i="9"/>
  <c r="K134" i="9"/>
  <c r="L134" i="9"/>
  <c r="K111" i="9"/>
  <c r="L111" i="9"/>
  <c r="K78" i="9"/>
  <c r="L78" i="9"/>
  <c r="K37" i="9"/>
  <c r="L37" i="9"/>
  <c r="K362" i="9"/>
  <c r="L362" i="9"/>
  <c r="K347" i="9"/>
  <c r="L347" i="9"/>
  <c r="K333" i="9"/>
  <c r="L333" i="9"/>
  <c r="K319" i="9"/>
  <c r="L319" i="9"/>
  <c r="K305" i="9"/>
  <c r="L305" i="9"/>
  <c r="K291" i="9"/>
  <c r="L291" i="9"/>
  <c r="K273" i="9"/>
  <c r="L273" i="9"/>
  <c r="K249" i="9"/>
  <c r="L249" i="9"/>
  <c r="K232" i="9"/>
  <c r="L232" i="9"/>
  <c r="K194" i="9"/>
  <c r="L194" i="9"/>
  <c r="K168" i="9"/>
  <c r="L168" i="9"/>
  <c r="K153" i="9"/>
  <c r="L153" i="9"/>
  <c r="K136" i="9"/>
  <c r="L136" i="9"/>
  <c r="K110" i="9"/>
  <c r="L110" i="9"/>
  <c r="K92" i="9"/>
  <c r="L92" i="9"/>
  <c r="K63" i="9"/>
  <c r="L63" i="9"/>
  <c r="K39" i="9"/>
  <c r="L39" i="9"/>
  <c r="K276" i="9"/>
  <c r="L276" i="9"/>
  <c r="K262" i="9"/>
  <c r="L262" i="9"/>
  <c r="K247" i="9"/>
  <c r="L247" i="9"/>
  <c r="K231" i="9"/>
  <c r="L231" i="9"/>
  <c r="K218" i="9"/>
  <c r="L218" i="9"/>
  <c r="K206" i="9"/>
  <c r="L206" i="9"/>
  <c r="K188" i="9"/>
  <c r="L188" i="9"/>
  <c r="K173" i="9"/>
  <c r="L173" i="9"/>
  <c r="K146" i="9"/>
  <c r="L146" i="9"/>
  <c r="K131" i="9"/>
  <c r="L131" i="9"/>
  <c r="K112" i="9"/>
  <c r="L112" i="9"/>
  <c r="K93" i="9"/>
  <c r="L93" i="9"/>
  <c r="K77" i="9"/>
  <c r="L77" i="9"/>
  <c r="K60" i="9"/>
  <c r="L60" i="9"/>
  <c r="K32" i="9"/>
  <c r="L32" i="9"/>
  <c r="K104" i="9"/>
  <c r="L104" i="9"/>
  <c r="K170" i="9"/>
  <c r="L170" i="9"/>
  <c r="K236" i="9"/>
  <c r="L236" i="9"/>
  <c r="K308" i="9"/>
  <c r="L308" i="9"/>
  <c r="K361" i="9"/>
  <c r="L361" i="9"/>
  <c r="K407" i="9"/>
  <c r="L407" i="9"/>
  <c r="K438" i="9"/>
  <c r="L438" i="9"/>
  <c r="K468" i="9"/>
  <c r="L468" i="9"/>
  <c r="K494" i="9"/>
  <c r="L494" i="9"/>
  <c r="K94" i="9"/>
  <c r="L94" i="9"/>
  <c r="K159" i="9"/>
  <c r="L159" i="9"/>
  <c r="K223" i="9"/>
  <c r="L223" i="9"/>
  <c r="K294" i="9"/>
  <c r="L294" i="9"/>
  <c r="K352" i="9"/>
  <c r="L352" i="9"/>
  <c r="K399" i="9"/>
  <c r="L399" i="9"/>
  <c r="K432" i="9"/>
  <c r="L432" i="9"/>
  <c r="K463" i="9"/>
  <c r="L463" i="9"/>
  <c r="K496" i="9"/>
  <c r="L496" i="9"/>
  <c r="K44" i="9"/>
  <c r="L44" i="9"/>
  <c r="K14" i="9"/>
  <c r="L14" i="9"/>
  <c r="K13" i="9"/>
  <c r="L13" i="9"/>
  <c r="K31" i="9"/>
  <c r="L31" i="9"/>
  <c r="K66" i="9"/>
  <c r="L66" i="9"/>
  <c r="K35" i="9"/>
  <c r="L35" i="9"/>
  <c r="K19" i="9"/>
  <c r="L19" i="9"/>
  <c r="K17" i="9"/>
  <c r="L17" i="9"/>
  <c r="K22" i="9"/>
  <c r="L22" i="9"/>
  <c r="K11" i="9"/>
  <c r="L11" i="9"/>
  <c r="K27" i="9"/>
  <c r="L27" i="9"/>
  <c r="K38" i="9"/>
  <c r="L38" i="9"/>
  <c r="K54" i="9"/>
  <c r="L54" i="9"/>
  <c r="K70" i="9"/>
  <c r="L70" i="9"/>
  <c r="K42" i="9"/>
  <c r="L42" i="9"/>
  <c r="K98" i="9"/>
  <c r="L98" i="9"/>
  <c r="K166" i="9"/>
  <c r="L166" i="9"/>
  <c r="K252" i="9"/>
  <c r="L252" i="9"/>
  <c r="K299" i="9"/>
  <c r="L299" i="9"/>
  <c r="K338" i="9"/>
  <c r="L338" i="9"/>
  <c r="K390" i="9"/>
  <c r="L390" i="9"/>
  <c r="K414" i="9"/>
  <c r="L414" i="9"/>
  <c r="K434" i="9"/>
  <c r="L434" i="9"/>
  <c r="K457" i="9"/>
  <c r="L457" i="9"/>
  <c r="K481" i="9"/>
  <c r="L481" i="9"/>
  <c r="K406" i="9"/>
  <c r="L406" i="9"/>
  <c r="K384" i="9"/>
  <c r="L384" i="9"/>
  <c r="K368" i="9"/>
  <c r="L368" i="9"/>
  <c r="K345" i="9"/>
  <c r="L345" i="9"/>
  <c r="K321" i="9"/>
  <c r="L321" i="9"/>
  <c r="K297" i="9"/>
  <c r="L297" i="9"/>
  <c r="K275" i="9"/>
  <c r="L275" i="9"/>
  <c r="K244" i="9"/>
  <c r="L244" i="9"/>
  <c r="K210" i="9"/>
  <c r="L210" i="9"/>
  <c r="K183" i="9"/>
  <c r="L183" i="9"/>
  <c r="K158" i="9"/>
  <c r="L158" i="9"/>
  <c r="K126" i="9"/>
  <c r="L126" i="9"/>
  <c r="K95" i="9"/>
  <c r="L95" i="9"/>
  <c r="K72" i="9"/>
  <c r="L72" i="9"/>
  <c r="K24" i="9"/>
  <c r="L24" i="9"/>
  <c r="K490" i="9"/>
  <c r="L490" i="9"/>
  <c r="K475" i="9"/>
  <c r="L475" i="9"/>
  <c r="K461" i="9"/>
  <c r="L461" i="9"/>
  <c r="K447" i="9"/>
  <c r="L447" i="9"/>
  <c r="K433" i="9"/>
  <c r="L433" i="9"/>
  <c r="K419" i="9"/>
  <c r="L419" i="9"/>
  <c r="K405" i="9"/>
  <c r="L405" i="9"/>
  <c r="K391" i="9"/>
  <c r="L391" i="9"/>
  <c r="K376" i="9"/>
  <c r="L376" i="9"/>
  <c r="K353" i="9"/>
  <c r="L353" i="9"/>
  <c r="K329" i="9"/>
  <c r="L329" i="9"/>
  <c r="K306" i="9"/>
  <c r="L306" i="9"/>
  <c r="K285" i="9"/>
  <c r="L285" i="9"/>
  <c r="K255" i="9"/>
  <c r="L255" i="9"/>
  <c r="K230" i="9"/>
  <c r="L230" i="9"/>
  <c r="K208" i="9"/>
  <c r="L208" i="9"/>
  <c r="K187" i="9"/>
  <c r="L187" i="9"/>
  <c r="K167" i="9"/>
  <c r="L167" i="9"/>
  <c r="K130" i="9"/>
  <c r="L130" i="9"/>
  <c r="K107" i="9"/>
  <c r="L107" i="9"/>
  <c r="K71" i="9"/>
  <c r="L71" i="9"/>
  <c r="K373" i="9"/>
  <c r="L373" i="9"/>
  <c r="K359" i="9"/>
  <c r="L359" i="9"/>
  <c r="K344" i="9"/>
  <c r="L344" i="9"/>
  <c r="K330" i="9"/>
  <c r="L330" i="9"/>
  <c r="K315" i="9"/>
  <c r="L315" i="9"/>
  <c r="K301" i="9"/>
  <c r="L301" i="9"/>
  <c r="K287" i="9"/>
  <c r="L287" i="9"/>
  <c r="K267" i="9"/>
  <c r="L267" i="9"/>
  <c r="K245" i="9"/>
  <c r="L245" i="9"/>
  <c r="K227" i="9"/>
  <c r="L227" i="9"/>
  <c r="K190" i="9"/>
  <c r="L190" i="9"/>
  <c r="K164" i="9"/>
  <c r="L164" i="9"/>
  <c r="K149" i="9"/>
  <c r="L149" i="9"/>
  <c r="K124" i="9"/>
  <c r="L124" i="9"/>
  <c r="K105" i="9"/>
  <c r="L105" i="9"/>
  <c r="K88" i="9"/>
  <c r="L88" i="9"/>
  <c r="K57" i="9"/>
  <c r="L57" i="9"/>
  <c r="K23" i="9"/>
  <c r="L23" i="9"/>
  <c r="K272" i="9"/>
  <c r="L272" i="9"/>
  <c r="K258" i="9"/>
  <c r="L258" i="9"/>
  <c r="K242" i="9"/>
  <c r="L242" i="9"/>
  <c r="K228" i="9"/>
  <c r="L228" i="9"/>
  <c r="K215" i="9"/>
  <c r="L215" i="9"/>
  <c r="K202" i="9"/>
  <c r="L202" i="9"/>
  <c r="K185" i="9"/>
  <c r="L185" i="9"/>
  <c r="K162" i="9"/>
  <c r="L162" i="9"/>
  <c r="K143" i="9"/>
  <c r="L143" i="9"/>
  <c r="K129" i="9"/>
  <c r="L129" i="9"/>
  <c r="K109" i="9"/>
  <c r="L109" i="9"/>
  <c r="K90" i="9"/>
  <c r="L90" i="9"/>
  <c r="K73" i="9"/>
  <c r="L73" i="9"/>
  <c r="K55" i="9"/>
  <c r="L55" i="9"/>
  <c r="K8" i="9"/>
  <c r="L8" i="9"/>
  <c r="K122" i="9"/>
  <c r="L122" i="9"/>
  <c r="K189" i="9"/>
  <c r="L189" i="9"/>
  <c r="K257" i="9"/>
  <c r="L257" i="9"/>
  <c r="K322" i="9"/>
  <c r="L322" i="9"/>
  <c r="K375" i="9"/>
  <c r="L375" i="9"/>
  <c r="K416" i="9"/>
  <c r="L416" i="9"/>
  <c r="K445" i="9"/>
  <c r="L445" i="9"/>
  <c r="K474" i="9"/>
  <c r="L474" i="9"/>
  <c r="K36" i="9"/>
  <c r="L36" i="9"/>
  <c r="K108" i="9"/>
  <c r="L108" i="9"/>
  <c r="K174" i="9"/>
  <c r="L174" i="9"/>
  <c r="K240" i="9"/>
  <c r="L240" i="9"/>
  <c r="K313" i="9"/>
  <c r="L313" i="9"/>
  <c r="K364" i="9"/>
  <c r="L364" i="9"/>
  <c r="K409" i="9"/>
  <c r="L409" i="9"/>
  <c r="K441" i="9"/>
  <c r="L441" i="9"/>
  <c r="K470" i="9"/>
  <c r="L470" i="9"/>
  <c r="S11" i="9"/>
  <c r="U11" i="9" s="1"/>
  <c r="S21" i="9"/>
  <c r="U21" i="9" s="1"/>
  <c r="R8" i="9"/>
  <c r="T8" i="9" s="1"/>
  <c r="T15" i="9" s="1"/>
  <c r="G35" i="2" s="1"/>
  <c r="P15" i="9"/>
  <c r="O15" i="9"/>
  <c r="G44" i="2"/>
  <c r="K9" i="9"/>
  <c r="K501" i="9"/>
  <c r="K502" i="9" s="1"/>
  <c r="U31" i="9"/>
  <c r="O37" i="9"/>
  <c r="O40" i="9"/>
  <c r="O25" i="9"/>
  <c r="R18" i="9"/>
  <c r="T18" i="9" s="1"/>
  <c r="T25" i="9" s="1"/>
  <c r="T30" i="9"/>
  <c r="T37" i="9" s="1"/>
  <c r="R30" i="9"/>
  <c r="Q8" i="9"/>
  <c r="D38" i="2" l="1"/>
  <c r="E38" i="2"/>
  <c r="E35" i="2"/>
  <c r="E45" i="2"/>
  <c r="E57" i="2"/>
  <c r="E60" i="2"/>
  <c r="E63" i="2"/>
  <c r="E43" i="2"/>
  <c r="E65" i="2"/>
  <c r="E37" i="2"/>
  <c r="E46" i="2"/>
  <c r="E64" i="2"/>
  <c r="E52" i="2"/>
  <c r="E36" i="2"/>
  <c r="E44" i="2"/>
  <c r="E56" i="2"/>
  <c r="E59" i="2"/>
  <c r="E61" i="2"/>
  <c r="E48" i="2"/>
  <c r="E62" i="2"/>
  <c r="E58" i="2"/>
  <c r="E47" i="2"/>
  <c r="E49" i="2"/>
  <c r="E66" i="2"/>
  <c r="E68" i="2"/>
  <c r="O47" i="9"/>
  <c r="Q40" i="9"/>
  <c r="V9" i="9"/>
  <c r="S18" i="9"/>
  <c r="O8" i="11"/>
  <c r="V7" i="9" a="1"/>
  <c r="V7" i="9" s="1"/>
  <c r="G40" i="2" s="1"/>
  <c r="G43" i="2" s="1"/>
  <c r="S8" i="9"/>
  <c r="U8" i="9" s="1"/>
  <c r="E67" i="2" l="1"/>
  <c r="S25" i="9"/>
  <c r="U25" i="9" s="1"/>
  <c r="U18" i="9"/>
  <c r="Q47" i="9"/>
  <c r="N18" i="2" s="1"/>
  <c r="N19" i="2" s="1"/>
  <c r="D19" i="2"/>
  <c r="R29" i="11"/>
  <c r="G53" i="2"/>
  <c r="H53" i="2" s="1"/>
  <c r="I53" i="2" s="1"/>
  <c r="J53" i="2" s="1"/>
  <c r="K53" i="2" s="1"/>
  <c r="L53" i="2" s="1"/>
  <c r="M53" i="2" s="1"/>
  <c r="N53" i="2" s="1"/>
  <c r="O53" i="2" s="1"/>
  <c r="P53" i="2" s="1"/>
  <c r="Q53" i="2" s="1"/>
  <c r="R53" i="2" s="1"/>
  <c r="G58" i="2"/>
  <c r="H58" i="2" s="1"/>
  <c r="I58" i="2" s="1"/>
  <c r="J58" i="2" s="1"/>
  <c r="K58" i="2" s="1"/>
  <c r="L58" i="2" s="1"/>
  <c r="M58" i="2" s="1"/>
  <c r="N58" i="2" s="1"/>
  <c r="O58" i="2" s="1"/>
  <c r="P58" i="2" s="1"/>
  <c r="Q58" i="2" s="1"/>
  <c r="R58" i="2" s="1"/>
  <c r="G59" i="2"/>
  <c r="H59" i="2" s="1"/>
  <c r="I59" i="2" s="1"/>
  <c r="J59" i="2" s="1"/>
  <c r="K59" i="2" s="1"/>
  <c r="L59" i="2" s="1"/>
  <c r="M59" i="2" s="1"/>
  <c r="N59" i="2" s="1"/>
  <c r="O59" i="2" s="1"/>
  <c r="P59" i="2" s="1"/>
  <c r="Q59" i="2" s="1"/>
  <c r="R59" i="2" s="1"/>
  <c r="G61" i="2"/>
  <c r="H61" i="2" s="1"/>
  <c r="I61" i="2" s="1"/>
  <c r="J61" i="2" s="1"/>
  <c r="K61" i="2" s="1"/>
  <c r="L61" i="2" s="1"/>
  <c r="M61" i="2" s="1"/>
  <c r="N61" i="2" s="1"/>
  <c r="O61" i="2" s="1"/>
  <c r="P61" i="2" s="1"/>
  <c r="Q61" i="2" s="1"/>
  <c r="R61" i="2" s="1"/>
  <c r="G70" i="2"/>
  <c r="S15" i="9"/>
  <c r="U15" i="9" s="1"/>
  <c r="G38" i="2"/>
  <c r="K38" i="2"/>
  <c r="O38" i="2"/>
  <c r="H38" i="2"/>
  <c r="L38" i="2"/>
  <c r="P38" i="2"/>
  <c r="M38" i="2"/>
  <c r="N38" i="2"/>
  <c r="I38" i="2"/>
  <c r="Q38" i="2"/>
  <c r="J38" i="2"/>
  <c r="R38" i="2"/>
  <c r="H35" i="2" l="1"/>
  <c r="H39" i="2" s="1"/>
  <c r="G39" i="2"/>
  <c r="G46" i="2" s="1"/>
  <c r="G47" i="2" s="1"/>
  <c r="J11" i="2"/>
  <c r="G32" i="2"/>
  <c r="G33" i="2" s="1"/>
  <c r="H33" i="2" s="1"/>
  <c r="I33" i="2" s="1"/>
  <c r="J33" i="2" s="1"/>
  <c r="K33" i="2" s="1"/>
  <c r="L33" i="2" s="1"/>
  <c r="M33" i="2" s="1"/>
  <c r="N33" i="2" s="1"/>
  <c r="O33" i="2" s="1"/>
  <c r="P33" i="2" s="1"/>
  <c r="Q33" i="2" s="1"/>
  <c r="R33" i="2" s="1"/>
  <c r="H70" i="2"/>
  <c r="I70" i="2" s="1"/>
  <c r="J70" i="2" s="1"/>
  <c r="K70" i="2" s="1"/>
  <c r="L70" i="2" s="1"/>
  <c r="M70" i="2" s="1"/>
  <c r="N70" i="2" s="1"/>
  <c r="O70" i="2" s="1"/>
  <c r="P70" i="2" s="1"/>
  <c r="Q70" i="2" s="1"/>
  <c r="R70" i="2" s="1"/>
  <c r="I35" i="2" l="1"/>
  <c r="I39" i="2" s="1"/>
  <c r="H43" i="2"/>
  <c r="G49" i="2"/>
  <c r="G65" i="2" s="1"/>
  <c r="H65" i="2" s="1"/>
  <c r="I65" i="2" s="1"/>
  <c r="J65" i="2" s="1"/>
  <c r="K65" i="2" s="1"/>
  <c r="L65" i="2" s="1"/>
  <c r="M65" i="2" s="1"/>
  <c r="N65" i="2" s="1"/>
  <c r="O65" i="2" s="1"/>
  <c r="P65" i="2" s="1"/>
  <c r="Q65" i="2" s="1"/>
  <c r="R65" i="2" s="1"/>
  <c r="J13" i="2"/>
  <c r="O19" i="11"/>
  <c r="O21" i="11" s="1"/>
  <c r="O23" i="11" s="1"/>
  <c r="H46" i="2"/>
  <c r="H47" i="2" s="1"/>
  <c r="H49" i="2" s="1"/>
  <c r="I43" i="2" l="1"/>
  <c r="J35" i="2"/>
  <c r="J39" i="2" s="1"/>
  <c r="G64" i="2"/>
  <c r="H64" i="2" s="1"/>
  <c r="I64" i="2" s="1"/>
  <c r="J64" i="2" s="1"/>
  <c r="K64" i="2" s="1"/>
  <c r="L64" i="2" s="1"/>
  <c r="M64" i="2" s="1"/>
  <c r="N64" i="2" s="1"/>
  <c r="O64" i="2" s="1"/>
  <c r="P64" i="2" s="1"/>
  <c r="Q64" i="2" s="1"/>
  <c r="R64" i="2" s="1"/>
  <c r="G60" i="2"/>
  <c r="H60" i="2" s="1"/>
  <c r="I60" i="2" s="1"/>
  <c r="J60" i="2" s="1"/>
  <c r="K60" i="2" s="1"/>
  <c r="L60" i="2" s="1"/>
  <c r="M60" i="2" s="1"/>
  <c r="N60" i="2" s="1"/>
  <c r="O60" i="2" s="1"/>
  <c r="P60" i="2" s="1"/>
  <c r="Q60" i="2" s="1"/>
  <c r="R60" i="2" s="1"/>
  <c r="M26" i="11"/>
  <c r="O27" i="11"/>
  <c r="J15" i="2"/>
  <c r="F69" i="2"/>
  <c r="K35" i="2"/>
  <c r="K39" i="2" s="1"/>
  <c r="I46" i="2"/>
  <c r="I47" i="2" s="1"/>
  <c r="I49" i="2" s="1"/>
  <c r="J43" i="2" l="1"/>
  <c r="G66" i="2"/>
  <c r="G67" i="2" s="1"/>
  <c r="M27" i="11"/>
  <c r="O28" i="11"/>
  <c r="H66" i="2"/>
  <c r="H67" i="2" s="1"/>
  <c r="I18" i="2"/>
  <c r="J19" i="2"/>
  <c r="J46" i="2"/>
  <c r="J47" i="2" s="1"/>
  <c r="J49" i="2" s="1"/>
  <c r="K43" i="2"/>
  <c r="L35" i="2"/>
  <c r="L39" i="2" s="1"/>
  <c r="G68" i="2" l="1"/>
  <c r="G71" i="2" s="1"/>
  <c r="F92" i="2"/>
  <c r="H68" i="2"/>
  <c r="H74" i="2" s="1"/>
  <c r="S27" i="11"/>
  <c r="S29" i="11"/>
  <c r="I19" i="2"/>
  <c r="J20" i="2"/>
  <c r="I66" i="2"/>
  <c r="I67" i="2" s="1"/>
  <c r="L43" i="2"/>
  <c r="M35" i="2"/>
  <c r="M39" i="2" s="1"/>
  <c r="K46" i="2"/>
  <c r="K47" i="2" s="1"/>
  <c r="K49" i="2" s="1"/>
  <c r="G74" i="2" l="1"/>
  <c r="G88" i="2" s="1"/>
  <c r="G94" i="2"/>
  <c r="G10" i="2" s="1"/>
  <c r="R13" i="11" s="1"/>
  <c r="G92" i="2"/>
  <c r="G12" i="2" s="1"/>
  <c r="R15" i="11" s="1"/>
  <c r="G82" i="2"/>
  <c r="G69" i="2"/>
  <c r="G8" i="2" s="1"/>
  <c r="D72" i="2" s="1"/>
  <c r="G77" i="2"/>
  <c r="H82" i="2"/>
  <c r="H71" i="2"/>
  <c r="H69" i="2"/>
  <c r="J66" i="2"/>
  <c r="J67" i="2" s="1"/>
  <c r="N35" i="2"/>
  <c r="N39" i="2" s="1"/>
  <c r="M43" i="2"/>
  <c r="L46" i="2"/>
  <c r="L47" i="2" s="1"/>
  <c r="L49" i="2" s="1"/>
  <c r="H88" i="2"/>
  <c r="H94" i="2"/>
  <c r="I68" i="2"/>
  <c r="G83" i="2" l="1"/>
  <c r="G84" i="2" s="1"/>
  <c r="H78" i="2" s="1"/>
  <c r="H79" i="2" s="1"/>
  <c r="H80" i="2" s="1"/>
  <c r="R11" i="11"/>
  <c r="M35" i="11" s="1"/>
  <c r="J68" i="2"/>
  <c r="J71" i="2" s="1"/>
  <c r="K66" i="2"/>
  <c r="K67" i="2" s="1"/>
  <c r="M46" i="2"/>
  <c r="M47" i="2" s="1"/>
  <c r="M49" i="2" s="1"/>
  <c r="I74" i="2"/>
  <c r="I69" i="2"/>
  <c r="I71" i="2"/>
  <c r="I82" i="2"/>
  <c r="O35" i="2"/>
  <c r="O39" i="2" s="1"/>
  <c r="N43" i="2"/>
  <c r="G85" i="2" l="1"/>
  <c r="G90" i="2" s="1"/>
  <c r="H83" i="2"/>
  <c r="H85" i="2" s="1"/>
  <c r="H92" i="2" s="1"/>
  <c r="J69" i="2"/>
  <c r="J74" i="2"/>
  <c r="J88" i="2" s="1"/>
  <c r="J82" i="2"/>
  <c r="K68" i="2"/>
  <c r="K74" i="2" s="1"/>
  <c r="L66" i="2"/>
  <c r="L67" i="2" s="1"/>
  <c r="O43" i="2"/>
  <c r="P35" i="2"/>
  <c r="P39" i="2" s="1"/>
  <c r="N46" i="2"/>
  <c r="N47" i="2" s="1"/>
  <c r="N49" i="2" s="1"/>
  <c r="I88" i="2"/>
  <c r="I94" i="2"/>
  <c r="H84" i="2" l="1"/>
  <c r="I78" i="2" s="1"/>
  <c r="I79" i="2" s="1"/>
  <c r="I80" i="2" s="1"/>
  <c r="H90" i="2"/>
  <c r="J94" i="2"/>
  <c r="R15" i="2"/>
  <c r="R17" i="2" s="1"/>
  <c r="K71" i="2"/>
  <c r="L68" i="2"/>
  <c r="K69" i="2"/>
  <c r="M66" i="2"/>
  <c r="M67" i="2" s="1"/>
  <c r="K94" i="2"/>
  <c r="K88" i="2"/>
  <c r="P43" i="2"/>
  <c r="Q35" i="2"/>
  <c r="Q39" i="2" s="1"/>
  <c r="O46" i="2"/>
  <c r="O47" i="2" s="1"/>
  <c r="O49" i="2" s="1"/>
  <c r="I83" i="2" l="1"/>
  <c r="I84" i="2" s="1"/>
  <c r="J78" i="2" s="1"/>
  <c r="J79" i="2" s="1"/>
  <c r="J83" i="2" s="1"/>
  <c r="J85" i="2" s="1"/>
  <c r="K76" i="2"/>
  <c r="L71" i="2"/>
  <c r="L69" i="2"/>
  <c r="M68" i="2"/>
  <c r="L72" i="2" s="1"/>
  <c r="P46" i="2"/>
  <c r="P47" i="2" s="1"/>
  <c r="P49" i="2" s="1"/>
  <c r="N66" i="2"/>
  <c r="N67" i="2" s="1"/>
  <c r="R35" i="2"/>
  <c r="R39" i="2" s="1"/>
  <c r="Q43" i="2"/>
  <c r="K81" i="2"/>
  <c r="O81" i="2"/>
  <c r="L81" i="2"/>
  <c r="P81" i="2"/>
  <c r="M81" i="2"/>
  <c r="Q81" i="2"/>
  <c r="N81" i="2"/>
  <c r="R81" i="2"/>
  <c r="I85" i="2" l="1"/>
  <c r="M71" i="2"/>
  <c r="M69" i="2"/>
  <c r="M74" i="2"/>
  <c r="M88" i="2" s="1"/>
  <c r="K82" i="2"/>
  <c r="Q46" i="2"/>
  <c r="Q47" i="2" s="1"/>
  <c r="Q49" i="2" s="1"/>
  <c r="J92" i="2"/>
  <c r="J90" i="2"/>
  <c r="J80" i="2"/>
  <c r="J84" i="2"/>
  <c r="L82" i="2"/>
  <c r="R43" i="2"/>
  <c r="M82" i="2"/>
  <c r="L73" i="2"/>
  <c r="L74" i="2" s="1"/>
  <c r="N68" i="2"/>
  <c r="O66" i="2"/>
  <c r="O67" i="2" s="1"/>
  <c r="I90" i="2" l="1"/>
  <c r="I92" i="2"/>
  <c r="M94" i="2"/>
  <c r="P66" i="2"/>
  <c r="P67" i="2" s="1"/>
  <c r="L88" i="2"/>
  <c r="L94" i="2"/>
  <c r="N74" i="2"/>
  <c r="N69" i="2"/>
  <c r="N71" i="2"/>
  <c r="N82" i="2"/>
  <c r="R46" i="2"/>
  <c r="R47" i="2" s="1"/>
  <c r="R49" i="2" s="1"/>
  <c r="O68" i="2"/>
  <c r="K78" i="2"/>
  <c r="Q66" i="2" l="1"/>
  <c r="Q67" i="2" s="1"/>
  <c r="P68" i="2"/>
  <c r="K79" i="2"/>
  <c r="K83" i="2" s="1"/>
  <c r="K85" i="2" s="1"/>
  <c r="D88" i="2"/>
  <c r="H16" i="2" s="1"/>
  <c r="S19" i="11" s="1"/>
  <c r="N94" i="2"/>
  <c r="N88" i="2"/>
  <c r="O69" i="2"/>
  <c r="O71" i="2"/>
  <c r="O82" i="2"/>
  <c r="O74" i="2"/>
  <c r="Q68" i="2" l="1"/>
  <c r="Q74" i="2" s="1"/>
  <c r="P71" i="2"/>
  <c r="P82" i="2"/>
  <c r="P74" i="2"/>
  <c r="P69" i="2"/>
  <c r="H8" i="2" s="1"/>
  <c r="S11" i="11" s="1"/>
  <c r="K80" i="2"/>
  <c r="K84" i="2"/>
  <c r="O94" i="2"/>
  <c r="O88" i="2"/>
  <c r="K90" i="2"/>
  <c r="K92" i="2"/>
  <c r="R66" i="2"/>
  <c r="R67" i="2" s="1"/>
  <c r="Q82" i="2" l="1"/>
  <c r="Q71" i="2"/>
  <c r="Q69" i="2"/>
  <c r="P88" i="2"/>
  <c r="P94" i="2"/>
  <c r="H10" i="2" s="1"/>
  <c r="S13" i="11" s="1"/>
  <c r="Q88" i="2"/>
  <c r="Q94" i="2"/>
  <c r="R68" i="2"/>
  <c r="L78" i="2"/>
  <c r="H14" i="2" l="1"/>
  <c r="S17" i="11" s="1"/>
  <c r="R74" i="2"/>
  <c r="R82" i="2"/>
  <c r="R71" i="2"/>
  <c r="R69" i="2"/>
  <c r="L79" i="2"/>
  <c r="L83" i="2" s="1"/>
  <c r="L85" i="2" s="1"/>
  <c r="H15" i="2"/>
  <c r="S18" i="11" s="1"/>
  <c r="L90" i="2" l="1"/>
  <c r="L92" i="2"/>
  <c r="L80" i="2"/>
  <c r="L84" i="2"/>
  <c r="R94" i="2"/>
  <c r="R88" i="2"/>
  <c r="M78" i="2" l="1"/>
  <c r="D90" i="2"/>
  <c r="H20" i="2" s="1"/>
  <c r="S23" i="11" s="1"/>
  <c r="M37" i="11" s="1"/>
  <c r="M79" i="2" l="1"/>
  <c r="M83" i="2" s="1"/>
  <c r="M85" i="2" s="1"/>
  <c r="M90" i="2" l="1"/>
  <c r="M92" i="2"/>
  <c r="M80" i="2"/>
  <c r="M84" i="2"/>
  <c r="N78" i="2" l="1"/>
  <c r="N79" i="2" l="1"/>
  <c r="N83" i="2" s="1"/>
  <c r="N85" i="2" s="1"/>
  <c r="N92" i="2" l="1"/>
  <c r="N90" i="2"/>
  <c r="N80" i="2"/>
  <c r="N84" i="2"/>
  <c r="O78" i="2" l="1"/>
  <c r="O79" i="2" l="1"/>
  <c r="O83" i="2" s="1"/>
  <c r="O85" i="2" s="1"/>
  <c r="O90" i="2" l="1"/>
  <c r="O92" i="2"/>
  <c r="O80" i="2"/>
  <c r="O84" i="2"/>
  <c r="P78" i="2" l="1"/>
  <c r="P79" i="2" l="1"/>
  <c r="P83" i="2" s="1"/>
  <c r="P85" i="2" s="1"/>
  <c r="P80" i="2" l="1"/>
  <c r="P84" i="2"/>
  <c r="P90" i="2"/>
  <c r="P92" i="2"/>
  <c r="H12" i="2" s="1"/>
  <c r="S15" i="11" s="1"/>
  <c r="Q78" i="2" l="1"/>
  <c r="Q79" i="2" l="1"/>
  <c r="Q83" i="2" s="1"/>
  <c r="Q85" i="2" s="1"/>
  <c r="Q84" i="2" l="1"/>
  <c r="R78" i="2" s="1"/>
  <c r="Q92" i="2"/>
  <c r="Q90" i="2"/>
  <c r="R79" i="2" l="1"/>
  <c r="R83" i="2" s="1"/>
  <c r="R85" i="2" s="1"/>
  <c r="H18" i="2"/>
  <c r="S21" i="11" s="1"/>
  <c r="H19" i="2"/>
  <c r="S22" i="11" s="1"/>
  <c r="M36" i="11" s="1"/>
  <c r="R84" i="2" l="1"/>
  <c r="R92" i="2"/>
  <c r="R90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<sst xmlns="http://schemas.openxmlformats.org/spreadsheetml/2006/main" count="300" uniqueCount="217">
  <si>
    <t>Acquisition Metrics</t>
  </si>
  <si>
    <t>Return Metrics</t>
  </si>
  <si>
    <t>Sources &amp; Uses</t>
  </si>
  <si>
    <t>Closing Costs</t>
  </si>
  <si>
    <t>Debt Metrics</t>
  </si>
  <si>
    <t>Metric</t>
  </si>
  <si>
    <t>Purchase Price</t>
  </si>
  <si>
    <t>Year 1</t>
  </si>
  <si>
    <t>10-Yr Avg</t>
  </si>
  <si>
    <t>Uses</t>
  </si>
  <si>
    <t>Value</t>
  </si>
  <si>
    <t>Year</t>
  </si>
  <si>
    <t>Cap Rate Before Reserves</t>
  </si>
  <si>
    <t>LTV</t>
  </si>
  <si>
    <t>$/Unit</t>
  </si>
  <si>
    <t>ROE: Unlevered</t>
  </si>
  <si>
    <t>CapEx Budget</t>
  </si>
  <si>
    <t>Spread</t>
  </si>
  <si>
    <t>Total Rate</t>
  </si>
  <si>
    <t>ROE: Levered</t>
  </si>
  <si>
    <t>Total Unlevered Uses</t>
  </si>
  <si>
    <t>Min DSCR</t>
  </si>
  <si>
    <t>Financing  Costs</t>
  </si>
  <si>
    <t>Acquisition Fee</t>
  </si>
  <si>
    <t>Initial Loan Amount</t>
  </si>
  <si>
    <t>Net Unlevered Profit</t>
  </si>
  <si>
    <t>Total Levered Uses</t>
  </si>
  <si>
    <t>Total Closing Costs</t>
  </si>
  <si>
    <t>IO</t>
  </si>
  <si>
    <t>Unlevered EM</t>
  </si>
  <si>
    <t>Debt Service</t>
  </si>
  <si>
    <t>Unlevered IRR</t>
  </si>
  <si>
    <t>Sources</t>
  </si>
  <si>
    <t>Loan Term</t>
  </si>
  <si>
    <t xml:space="preserve">Extension </t>
  </si>
  <si>
    <t>Net Levered Profit</t>
  </si>
  <si>
    <t>Sale Year</t>
  </si>
  <si>
    <t>Levered EM</t>
  </si>
  <si>
    <t>Total Sources</t>
  </si>
  <si>
    <t>Levered IRR</t>
  </si>
  <si>
    <t>Total CapEx Budget</t>
  </si>
  <si>
    <t>T-12</t>
  </si>
  <si>
    <t>Closing Cost</t>
  </si>
  <si>
    <t>Total</t>
  </si>
  <si>
    <t>Residential Vacancy %</t>
  </si>
  <si>
    <t>Residential Vacancy</t>
  </si>
  <si>
    <t>Bad Debt</t>
  </si>
  <si>
    <t>Economic Vacancy</t>
  </si>
  <si>
    <t>Expense Growth</t>
  </si>
  <si>
    <t>Expenses</t>
  </si>
  <si>
    <t>Property Tax</t>
  </si>
  <si>
    <t>Insurance</t>
  </si>
  <si>
    <t>Service Contracts</t>
  </si>
  <si>
    <t>R&amp;M</t>
  </si>
  <si>
    <t>Leasing &amp; Marketing</t>
  </si>
  <si>
    <t>G&amp;A</t>
  </si>
  <si>
    <t>Professional Fees</t>
  </si>
  <si>
    <t>Total Expense</t>
  </si>
  <si>
    <t>Expense %</t>
  </si>
  <si>
    <t>NOI</t>
  </si>
  <si>
    <t>Cap Rate Pre Reserve on Purchase Price</t>
  </si>
  <si>
    <t>Capital Reserves</t>
  </si>
  <si>
    <t>Cap Rate Post Reserve</t>
  </si>
  <si>
    <t>Sale Price</t>
  </si>
  <si>
    <t>Sale Expense</t>
  </si>
  <si>
    <t xml:space="preserve">Debt </t>
  </si>
  <si>
    <t>Equity</t>
  </si>
  <si>
    <t>Beginning Balance</t>
  </si>
  <si>
    <t xml:space="preserve">Principal </t>
  </si>
  <si>
    <t>Interest</t>
  </si>
  <si>
    <t>DSCR</t>
  </si>
  <si>
    <t>Principal Paydown</t>
  </si>
  <si>
    <t>End Balance</t>
  </si>
  <si>
    <t>Status</t>
  </si>
  <si>
    <t>Rent</t>
  </si>
  <si>
    <t>Unit Type</t>
  </si>
  <si>
    <t>10 Year Treasury</t>
  </si>
  <si>
    <t>$/Gross SF</t>
  </si>
  <si>
    <t>Unit</t>
  </si>
  <si>
    <t>Refi Debt Metrics</t>
  </si>
  <si>
    <t>Cap Rate</t>
  </si>
  <si>
    <t>Property Info</t>
  </si>
  <si>
    <t>Address</t>
  </si>
  <si>
    <t>Year Built</t>
  </si>
  <si>
    <t>Residential Units</t>
  </si>
  <si>
    <t>Residential Rent</t>
  </si>
  <si>
    <t>Parking Revenue</t>
  </si>
  <si>
    <t>Parking Vacancy %</t>
  </si>
  <si>
    <t>Parking Vacancy</t>
  </si>
  <si>
    <t>Parking Spots</t>
  </si>
  <si>
    <t>Payroll</t>
  </si>
  <si>
    <t>Electricity</t>
  </si>
  <si>
    <t>Water</t>
  </si>
  <si>
    <t>Gas</t>
  </si>
  <si>
    <t>Renovated Apartments</t>
  </si>
  <si>
    <t xml:space="preserve">Building Capital Improvements </t>
  </si>
  <si>
    <t>Improved Apartment Income</t>
  </si>
  <si>
    <t>Apartment Renovtion Costs &amp; Vacancy</t>
  </si>
  <si>
    <t xml:space="preserve">Purchase Price </t>
  </si>
  <si>
    <t>Capital Expenditures - Apt Renos Year 1 Forward</t>
  </si>
  <si>
    <t>ROI: Unlevered</t>
  </si>
  <si>
    <t>Rent Roll</t>
  </si>
  <si>
    <t>SQFT</t>
  </si>
  <si>
    <t>Lease Expiration</t>
  </si>
  <si>
    <t>Est Market</t>
  </si>
  <si>
    <t># of Units</t>
  </si>
  <si>
    <t>Average Rent</t>
  </si>
  <si>
    <t>Monthly Income</t>
  </si>
  <si>
    <t>Annual Income</t>
  </si>
  <si>
    <t>Occupancy</t>
  </si>
  <si>
    <t>Avg. SQFT</t>
  </si>
  <si>
    <t>Total:</t>
  </si>
  <si>
    <t>Delta to Market</t>
  </si>
  <si>
    <t>Item</t>
  </si>
  <si>
    <t>Category</t>
  </si>
  <si>
    <t>T-12 Annual Cost</t>
  </si>
  <si>
    <t>Rentable SQFT</t>
  </si>
  <si>
    <t>Gross SQFT</t>
  </si>
  <si>
    <t>Parking Income Growth Rate</t>
  </si>
  <si>
    <t>Total Project Cost</t>
  </si>
  <si>
    <t>Turnover</t>
  </si>
  <si>
    <t xml:space="preserve">Asset Management </t>
  </si>
  <si>
    <t>Residential Income Growth Rate</t>
  </si>
  <si>
    <t>CPI Index</t>
  </si>
  <si>
    <t>Broker Price</t>
  </si>
  <si>
    <t>Suggested Bid Price</t>
  </si>
  <si>
    <t>Target Return Metrics</t>
  </si>
  <si>
    <t>Year-1 Cap Rate Before Reserves</t>
  </si>
  <si>
    <t>Levered Equity Multiple</t>
  </si>
  <si>
    <t xml:space="preserve">Levered Cash on Cash </t>
  </si>
  <si>
    <t>Legal</t>
  </si>
  <si>
    <t>Financing Fees</t>
  </si>
  <si>
    <t>Title Transfer</t>
  </si>
  <si>
    <t>Mortgage Broker Fee</t>
  </si>
  <si>
    <t>DD</t>
  </si>
  <si>
    <t>Mortgage Recording Tax</t>
  </si>
  <si>
    <t>Loan Type</t>
  </si>
  <si>
    <t>LTC</t>
  </si>
  <si>
    <t>Average $/SQFT</t>
  </si>
  <si>
    <t>Other Income</t>
  </si>
  <si>
    <t>TOTAL EXPENSES</t>
  </si>
  <si>
    <t>T-12 Extracted Summary</t>
  </si>
  <si>
    <t>Stabilized (Perm)</t>
  </si>
  <si>
    <t>Net Levered Cashflow Pre Unit Renovations</t>
  </si>
  <si>
    <t>Apt Renovations - Paid from Cashflow</t>
  </si>
  <si>
    <t>YR 1 Unit Renovations</t>
  </si>
  <si>
    <t>Avg. $/SQFT Per Month</t>
  </si>
  <si>
    <t>Avg. $/SQFT Annual</t>
  </si>
  <si>
    <t>Levered Cashflow for Distribution</t>
  </si>
  <si>
    <t>Purchase Price Sensitivity Analysis</t>
  </si>
  <si>
    <t>Unlevered Cashflow Pre Unit Renovations</t>
  </si>
  <si>
    <t>Unlevered Cashflow for Distribution</t>
  </si>
  <si>
    <t>Stabilized Cap Rate</t>
  </si>
  <si>
    <t>LLM Decides Category</t>
  </si>
  <si>
    <t>Sums/Pulls the Annual Last Years Cost</t>
  </si>
  <si>
    <t>Line item pulled directly from broker/owner T-12</t>
  </si>
  <si>
    <t>Ammortization Term</t>
  </si>
  <si>
    <t>LOGO</t>
  </si>
  <si>
    <r>
      <t>Due Diligence Period:</t>
    </r>
    <r>
      <rPr>
        <sz val="11"/>
        <color rgb="FF000000"/>
        <rFont val="Cambria"/>
        <family val="1"/>
      </rPr>
      <t xml:space="preserve"> 30 Days from contract signing.</t>
    </r>
  </si>
  <si>
    <r>
      <t>Closing</t>
    </r>
    <r>
      <rPr>
        <sz val="11"/>
        <color rgb="FF000000"/>
        <rFont val="Cambria"/>
        <family val="1"/>
      </rPr>
      <t>: 60 days after Due Diligence period.</t>
    </r>
  </si>
  <si>
    <r>
      <t>Brokerage</t>
    </r>
    <r>
      <rPr>
        <sz val="11"/>
        <color rgb="FF000000"/>
        <rFont val="Cambria"/>
        <family val="1"/>
      </rPr>
      <t>: All brokerage fees to be paid by the Seller.</t>
    </r>
  </si>
  <si>
    <t>This offer shall not be a binding obligation, which may be effectuated only by the execution and delivery of a Purchase and Sale Agreement for the Property by both the Seller and the Purchaser.</t>
  </si>
  <si>
    <t>This offer shall stand until the close of business one month from the date hereof and shall be automatically withdrawn at that if we have not received a written response from the Seller.</t>
  </si>
  <si>
    <t xml:space="preserve"> </t>
  </si>
  <si>
    <t>We look forward to your response. If you need any further information, please let us know. We would also be happy to meet with the Seller to discuss this situation further.</t>
  </si>
  <si>
    <t>Very truly yours,</t>
  </si>
  <si>
    <t>Broker Name</t>
  </si>
  <si>
    <t>Brokerage Address</t>
  </si>
  <si>
    <t xml:space="preserve">                                        </t>
  </si>
  <si>
    <t>(NAME)</t>
  </si>
  <si>
    <t>(TITLE)</t>
  </si>
  <si>
    <t>[EMBED COMPANY], Inc, or an affiliate (the “Purchaser”), is prepared to purchase the Property subject to the following terms and conditions:</t>
  </si>
  <si>
    <t>Broker Email</t>
  </si>
  <si>
    <t>Name</t>
  </si>
  <si>
    <t>Commercial Income Growth Rate</t>
  </si>
  <si>
    <t>Commercial Rent</t>
  </si>
  <si>
    <t>Commercial Vacancy %</t>
  </si>
  <si>
    <t>Commercial Vacancy</t>
  </si>
  <si>
    <t>Commerical Units</t>
  </si>
  <si>
    <t>Effective Gross Income</t>
  </si>
  <si>
    <t>Potential Gross Income</t>
  </si>
  <si>
    <t>EFFECTIVE GROSS INCOME</t>
  </si>
  <si>
    <t>Tenant Name</t>
  </si>
  <si>
    <t>Commercial Unit Mix</t>
  </si>
  <si>
    <t>Residential Unit Mix</t>
  </si>
  <si>
    <t>Average Rent/SQFT</t>
  </si>
  <si>
    <t>Average Unit Rent</t>
  </si>
  <si>
    <t>Total Units</t>
  </si>
  <si>
    <t>% Variance</t>
  </si>
  <si>
    <t>Commercial Market Comps</t>
  </si>
  <si>
    <t>Residential Market Comps</t>
  </si>
  <si>
    <t>Zip Code</t>
  </si>
  <si>
    <t>Discount to Market</t>
  </si>
  <si>
    <t>WALT</t>
  </si>
  <si>
    <t>Remaing Lease Term (Years)</t>
  </si>
  <si>
    <t>Tenant Improvements + Broker Commisons</t>
  </si>
  <si>
    <t>Rent Roll Summary Totals</t>
  </si>
  <si>
    <t>`</t>
  </si>
  <si>
    <t>2. [Enable Developer Tools] </t>
  </si>
  <si>
    <r>
      <t xml:space="preserve">a. Go to File </t>
    </r>
    <r>
      <rPr>
        <sz val="12"/>
        <rFont val="Wingdings"/>
        <charset val="2"/>
      </rPr>
      <t>à</t>
    </r>
    <r>
      <rPr>
        <sz val="12"/>
        <rFont val="Aptos"/>
        <family val="2"/>
      </rPr>
      <t xml:space="preserve"> Options </t>
    </r>
    <r>
      <rPr>
        <sz val="12"/>
        <rFont val="Wingdings"/>
        <charset val="2"/>
      </rPr>
      <t>à</t>
    </r>
    <r>
      <rPr>
        <sz val="12"/>
        <rFont val="Aptos"/>
        <family val="2"/>
      </rPr>
      <t xml:space="preserve"> Customize Ribbon </t>
    </r>
    <r>
      <rPr>
        <sz val="12"/>
        <rFont val="Wingdings"/>
        <charset val="2"/>
      </rPr>
      <t>à</t>
    </r>
    <r>
      <rPr>
        <sz val="12"/>
        <rFont val="Aptos"/>
        <family val="2"/>
      </rPr>
      <t xml:space="preserve"> Enable Developer </t>
    </r>
    <r>
      <rPr>
        <sz val="12"/>
        <rFont val="Wingdings"/>
        <charset val="2"/>
      </rPr>
      <t>à</t>
    </r>
    <r>
      <rPr>
        <sz val="12"/>
        <rFont val="Aptos"/>
        <family val="2"/>
      </rPr>
      <t xml:space="preserve"> Confirm with Ok </t>
    </r>
  </si>
  <si>
    <t>3. [Configure VBA to Run Solver] </t>
  </si>
  <si>
    <r>
      <t xml:space="preserve">a. Press Alt+F11 to open VBA </t>
    </r>
    <r>
      <rPr>
        <sz val="12"/>
        <rFont val="Wingdings"/>
        <charset val="2"/>
      </rPr>
      <t>à</t>
    </r>
    <r>
      <rPr>
        <sz val="12"/>
        <rFont val="Aptos"/>
        <family val="2"/>
      </rPr>
      <t xml:space="preserve"> Tools </t>
    </r>
    <r>
      <rPr>
        <sz val="12"/>
        <rFont val="Wingdings"/>
        <charset val="2"/>
      </rPr>
      <t>à</t>
    </r>
    <r>
      <rPr>
        <sz val="12"/>
        <rFont val="Aptos"/>
        <family val="2"/>
      </rPr>
      <t xml:space="preserve"> References </t>
    </r>
    <r>
      <rPr>
        <sz val="12"/>
        <rFont val="Wingdings"/>
        <charset val="2"/>
      </rPr>
      <t>à</t>
    </r>
    <r>
      <rPr>
        <sz val="12"/>
        <rFont val="Aptos"/>
        <family val="2"/>
      </rPr>
      <t xml:space="preserve"> Enable Solver </t>
    </r>
    <r>
      <rPr>
        <sz val="12"/>
        <rFont val="Wingdings"/>
        <charset val="2"/>
      </rPr>
      <t>à</t>
    </r>
    <r>
      <rPr>
        <sz val="12"/>
        <rFont val="Aptos"/>
        <family val="2"/>
      </rPr>
      <t xml:space="preserve"> Confirm with Ok </t>
    </r>
  </si>
  <si>
    <t>1. [Enable Solver Add-in]  </t>
  </si>
  <si>
    <t>DealQ Excel Configuration Instructions (Follow Provided Order) </t>
  </si>
  <si>
    <r>
      <t xml:space="preserve">a. Go to File </t>
    </r>
    <r>
      <rPr>
        <sz val="12"/>
        <rFont val="Wingdings"/>
        <charset val="2"/>
      </rPr>
      <t>à</t>
    </r>
    <r>
      <rPr>
        <sz val="12"/>
        <rFont val="Aptos"/>
        <family val="2"/>
      </rPr>
      <t xml:space="preserve"> Options </t>
    </r>
    <r>
      <rPr>
        <sz val="12"/>
        <rFont val="Wingdings"/>
        <charset val="2"/>
      </rPr>
      <t>à</t>
    </r>
    <r>
      <rPr>
        <sz val="12"/>
        <rFont val="Aptos"/>
        <family val="2"/>
      </rPr>
      <t xml:space="preserve"> Add-ins </t>
    </r>
    <r>
      <rPr>
        <sz val="12"/>
        <rFont val="Wingdings"/>
        <charset val="2"/>
      </rPr>
      <t>à</t>
    </r>
    <r>
      <rPr>
        <sz val="12"/>
        <rFont val="Aptos"/>
        <family val="2"/>
      </rPr>
      <t xml:space="preserve"> Go (at the bottom of pop-up window) </t>
    </r>
    <r>
      <rPr>
        <sz val="12"/>
        <rFont val="Wingdings"/>
        <charset val="2"/>
      </rPr>
      <t>à</t>
    </r>
    <r>
      <rPr>
        <sz val="12"/>
        <rFont val="Aptos"/>
        <family val="2"/>
      </rPr>
      <t xml:space="preserve"> Enable Solver Add-in </t>
    </r>
    <r>
      <rPr>
        <sz val="12"/>
        <rFont val="Wingdings"/>
        <charset val="2"/>
      </rPr>
      <t>à</t>
    </r>
    <r>
      <rPr>
        <sz val="12"/>
        <rFont val="Aptos"/>
        <family val="2"/>
      </rPr>
      <t xml:space="preserve"> Confirm with Ok </t>
    </r>
  </si>
  <si>
    <t>Management</t>
  </si>
  <si>
    <t>DealQ Underwriting Instructions (Follow Provided Order) </t>
  </si>
  <si>
    <t>1. Calibrate your Rent Roll</t>
  </si>
  <si>
    <t>2. Edit your UW assumptions</t>
  </si>
  <si>
    <t>3. Set Purchase Price</t>
  </si>
  <si>
    <t>4. Submit LOI</t>
  </si>
  <si>
    <r>
      <t xml:space="preserve">a. In the LOI section , add your company logo,  your information, the broker's/sellers' </t>
    </r>
    <r>
      <rPr>
        <sz val="12"/>
        <rFont val="Wingdings"/>
        <charset val="2"/>
      </rPr>
      <t>à</t>
    </r>
    <r>
      <rPr>
        <sz val="12"/>
        <rFont val="Aptos"/>
        <family val="2"/>
      </rPr>
      <t xml:space="preserve"> Ctrl P to Print then download your PDF LOI and submit your offer</t>
    </r>
  </si>
  <si>
    <r>
      <t xml:space="preserve">a. Go to rent roll tab </t>
    </r>
    <r>
      <rPr>
        <sz val="12"/>
        <rFont val="Wingdings"/>
        <charset val="2"/>
      </rPr>
      <t>à</t>
    </r>
    <r>
      <rPr>
        <sz val="12"/>
        <rFont val="Aptos"/>
        <family val="2"/>
      </rPr>
      <t xml:space="preserve"> Click refresh rent roll </t>
    </r>
    <r>
      <rPr>
        <sz val="12"/>
        <rFont val="Wingdings"/>
        <charset val="2"/>
      </rPr>
      <t>à</t>
    </r>
    <r>
      <rPr>
        <sz val="12"/>
        <rFont val="Aptos"/>
        <family val="2"/>
      </rPr>
      <t xml:space="preserve"> Double check all information was proccured</t>
    </r>
  </si>
  <si>
    <r>
      <t xml:space="preserve">a. Adjust the assumptions highlighted in light blue in the proforma tab to your understanding of the deal </t>
    </r>
    <r>
      <rPr>
        <sz val="12"/>
        <rFont val="Wingdings"/>
        <charset val="2"/>
      </rPr>
      <t>à</t>
    </r>
    <r>
      <rPr>
        <sz val="12"/>
        <rFont val="Aptos"/>
        <family val="2"/>
      </rPr>
      <t xml:space="preserve"> In Yellow, update to todays 10 year treasury rate and choose your loan ammortization most likely either IO (Interest only) or 360 (30 year ammortization)</t>
    </r>
  </si>
  <si>
    <t>$ Inplace vs. Market</t>
  </si>
  <si>
    <t>T-12/Unit</t>
  </si>
  <si>
    <r>
      <t xml:space="preserve">a.  In the return metric section on the proforma tab, input your desired return metrics </t>
    </r>
    <r>
      <rPr>
        <sz val="12"/>
        <rFont val="Wingdings"/>
        <charset val="2"/>
      </rPr>
      <t>à</t>
    </r>
    <r>
      <rPr>
        <sz val="12"/>
        <rFont val="Aptos"/>
        <family val="2"/>
      </rPr>
      <t xml:space="preserve"> Suggested purchase price will be calculated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</si>
</sst>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"/>
    <numFmt numFmtId="165" formatCode="&quot;Year&quot;\ 0"/>
    <numFmt numFmtId="166" formatCode="&quot;$&quot;#,##0.00"/>
    <numFmt numFmtId="167" formatCode="0.0%"/>
    <numFmt numFmtId="168" formatCode="0.00&quot;x&quot;"/>
    <numFmt numFmtId="169" formatCode="_(&quot;$&quot;* #,##0_);_(&quot;$&quot;* \(#,##0\);_(&quot;$&quot;* &quot;-&quot;??_);_(@_)"/>
    <numFmt numFmtId="170" formatCode="0\ &quot;Years&quot;"/>
    <numFmt numFmtId="171" formatCode="&quot;Debt (&quot;0.0%&quot;)&quot;"/>
    <numFmt numFmtId="172" formatCode="&quot;Equity (&quot;0.0%&quot;)&quot;"/>
    <numFmt numFmtId="174" formatCode="_(* #,##0_);_(* \(#,##0\);_(* &quot;-&quot;??_);_(@_)"/>
    <numFmt numFmtId="175" formatCode="&quot;Levered IRR&quot;"/>
    <numFmt numFmtId="176" formatCode="&quot;Year 1 Cap Rate&quot;"/>
    <numFmt numFmtId="177" formatCode="&quot;Levered EM&quot;"/>
    <numFmt numFmtId="178" formatCode="0.00\ &quot;Years&quot;"/>
    <numFmt numFmtId="181" formatCode="&quot;Purchase Price:&quot;\ 000,000.00"/>
  </numFmts>
  <fonts count="4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12"/>
      <color rgb="FF0070C0"/>
      <name val="Aptos Narrow"/>
      <family val="2"/>
      <scheme val="minor"/>
    </font>
    <font>
      <sz val="12"/>
      <color theme="8" tint="-0.249977111117893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9" tint="-0.249977111117893"/>
      <name val="Aptos Narrow"/>
      <family val="2"/>
      <scheme val="minor"/>
    </font>
    <font>
      <sz val="12"/>
      <color theme="9" tint="-0.249977111117893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b/>
      <sz val="12"/>
      <color rgb="FF336699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sz val="12"/>
      <color rgb="FF0070C0"/>
      <name val="Aptos Narrow"/>
      <family val="2"/>
      <scheme val="minor"/>
    </font>
    <font>
      <i/>
      <sz val="12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i/>
      <sz val="12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sz val="11"/>
      <color rgb="FFFF000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sz val="12"/>
      <color theme="1"/>
      <name val="Cambria"/>
      <family val="1"/>
    </font>
    <font>
      <b/>
      <u/>
      <sz val="12"/>
      <color theme="1"/>
      <name val="Cambria"/>
      <family val="1"/>
    </font>
    <font>
      <sz val="11"/>
      <color rgb="FF000000"/>
      <name val="Cambria"/>
      <family val="1"/>
    </font>
    <font>
      <b/>
      <sz val="11"/>
      <color rgb="FF000000"/>
      <name val="Cambria"/>
      <family val="1"/>
    </font>
    <font>
      <sz val="11"/>
      <color theme="1"/>
      <name val="Cambria"/>
      <family val="1"/>
    </font>
    <font>
      <sz val="11"/>
      <name val="Arial"/>
      <family val="1"/>
    </font>
    <font>
      <b/>
      <sz val="22"/>
      <color rgb="FF000000"/>
      <name val="Aptos Narrow"/>
      <family val="2"/>
    </font>
    <font>
      <sz val="12"/>
      <name val="Aptos"/>
      <family val="2"/>
    </font>
    <font>
      <sz val="12"/>
      <name val="Wingdings"/>
      <charset val="2"/>
    </font>
    <font>
      <b/>
      <sz val="12"/>
      <name val="Aptos"/>
      <family val="2"/>
    </font>
    <font>
      <b/>
      <sz val="12"/>
      <color theme="0"/>
      <name val="Aptos"/>
      <family val="2"/>
    </font>
    <font>
      <sz val="11"/>
      <color theme="0"/>
      <name val="Aptos Narrow"/>
      <family val="2"/>
      <scheme val="minor"/>
    </font>
    <font>
      <sz val="12"/>
      <color theme="3" tint="0.249977111117893"/>
      <name val="Aptos Narrow"/>
      <family val="2"/>
      <scheme val="minor"/>
    </font>
    <font>
      <b/>
      <sz val="12"/>
      <color theme="7" tint="-0.249977111117893"/>
      <name val="Aptos Narrow"/>
      <family val="2"/>
      <scheme val="minor"/>
    </font>
    <font>
      <sz val="12"/>
      <color theme="7" tint="-0.249977111117893"/>
      <name val="Aptos Narrow"/>
      <family val="2"/>
      <scheme val="minor"/>
    </font>
    <font>
      <b/>
      <sz val="12"/>
      <color theme="3" tint="9.9978637043366805E-2"/>
      <name val="Aptos Narrow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4" tint="-0.499984740745262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 style="medium">
        <color auto="1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4" fillId="0" borderId="0"/>
  </cellStyleXfs>
  <cellXfs count="560">
    <xf numFmtId="0" fontId="0" fillId="0" borderId="0" xfId="0"/>
    <xf numFmtId="0" fontId="3" fillId="0" borderId="0" xfId="0" applyFont="1"/>
    <xf numFmtId="0" fontId="4" fillId="2" borderId="2" xfId="0" applyFont="1" applyFill="1" applyBorder="1" applyAlignment="1">
      <alignment horizontal="center"/>
    </xf>
    <xf numFmtId="0" fontId="3" fillId="2" borderId="3" xfId="0" applyFont="1" applyFill="1" applyBorder="1"/>
    <xf numFmtId="0" fontId="5" fillId="3" borderId="4" xfId="0" applyFont="1" applyFill="1" applyBorder="1" applyAlignment="1">
      <alignment horizontal="left"/>
    </xf>
    <xf numFmtId="0" fontId="5" fillId="3" borderId="0" xfId="0" applyFont="1" applyFill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5" fillId="3" borderId="4" xfId="0" applyFont="1" applyFill="1" applyBorder="1"/>
    <xf numFmtId="0" fontId="6" fillId="3" borderId="4" xfId="0" applyFont="1" applyFill="1" applyBorder="1"/>
    <xf numFmtId="0" fontId="6" fillId="3" borderId="5" xfId="0" applyFont="1" applyFill="1" applyBorder="1" applyAlignment="1">
      <alignment horizontal="center"/>
    </xf>
    <xf numFmtId="0" fontId="3" fillId="0" borderId="4" xfId="0" applyFont="1" applyBorder="1"/>
    <xf numFmtId="0" fontId="5" fillId="0" borderId="1" xfId="0" applyFont="1" applyBorder="1"/>
    <xf numFmtId="0" fontId="3" fillId="0" borderId="4" xfId="0" applyFont="1" applyBorder="1" applyAlignment="1">
      <alignment horizontal="left"/>
    </xf>
    <xf numFmtId="164" fontId="3" fillId="0" borderId="5" xfId="0" applyNumberFormat="1" applyFont="1" applyBorder="1" applyAlignment="1">
      <alignment horizontal="center"/>
    </xf>
    <xf numFmtId="0" fontId="5" fillId="0" borderId="4" xfId="0" applyFont="1" applyBorder="1"/>
    <xf numFmtId="164" fontId="9" fillId="0" borderId="5" xfId="0" applyNumberFormat="1" applyFont="1" applyBorder="1" applyAlignment="1">
      <alignment horizontal="center"/>
    </xf>
    <xf numFmtId="10" fontId="5" fillId="0" borderId="5" xfId="0" applyNumberFormat="1" applyFont="1" applyBorder="1"/>
    <xf numFmtId="0" fontId="5" fillId="0" borderId="9" xfId="0" applyFont="1" applyBorder="1" applyAlignment="1">
      <alignment horizontal="left"/>
    </xf>
    <xf numFmtId="164" fontId="5" fillId="0" borderId="10" xfId="0" applyNumberFormat="1" applyFont="1" applyBorder="1" applyAlignment="1">
      <alignment horizontal="center"/>
    </xf>
    <xf numFmtId="168" fontId="8" fillId="0" borderId="5" xfId="0" applyNumberFormat="1" applyFont="1" applyBorder="1"/>
    <xf numFmtId="0" fontId="5" fillId="0" borderId="0" xfId="0" applyFont="1" applyAlignment="1">
      <alignment horizontal="left" vertical="center"/>
    </xf>
    <xf numFmtId="166" fontId="5" fillId="0" borderId="0" xfId="0" applyNumberFormat="1" applyFont="1" applyAlignment="1">
      <alignment horizontal="center" vertical="center"/>
    </xf>
    <xf numFmtId="0" fontId="4" fillId="2" borderId="1" xfId="0" applyFont="1" applyFill="1" applyBorder="1"/>
    <xf numFmtId="169" fontId="3" fillId="0" borderId="5" xfId="5" applyNumberFormat="1" applyFont="1" applyBorder="1"/>
    <xf numFmtId="0" fontId="5" fillId="0" borderId="11" xfId="0" applyFont="1" applyBorder="1"/>
    <xf numFmtId="0" fontId="5" fillId="0" borderId="12" xfId="0" applyFont="1" applyBorder="1"/>
    <xf numFmtId="164" fontId="5" fillId="0" borderId="13" xfId="0" applyNumberFormat="1" applyFont="1" applyBorder="1" applyAlignment="1">
      <alignment horizontal="center"/>
    </xf>
    <xf numFmtId="0" fontId="3" fillId="0" borderId="9" xfId="0" applyFont="1" applyBorder="1"/>
    <xf numFmtId="0" fontId="3" fillId="0" borderId="10" xfId="0" applyFont="1" applyBorder="1"/>
    <xf numFmtId="170" fontId="8" fillId="0" borderId="5" xfId="0" applyNumberFormat="1" applyFont="1" applyBorder="1"/>
    <xf numFmtId="171" fontId="3" fillId="0" borderId="4" xfId="0" applyNumberFormat="1" applyFont="1" applyBorder="1" applyAlignment="1">
      <alignment horizontal="left"/>
    </xf>
    <xf numFmtId="0" fontId="5" fillId="0" borderId="6" xfId="0" applyFont="1" applyBorder="1"/>
    <xf numFmtId="170" fontId="8" fillId="0" borderId="8" xfId="0" applyNumberFormat="1" applyFont="1" applyBorder="1"/>
    <xf numFmtId="172" fontId="3" fillId="0" borderId="6" xfId="0" applyNumberFormat="1" applyFont="1" applyBorder="1" applyAlignment="1">
      <alignment horizontal="left"/>
    </xf>
    <xf numFmtId="164" fontId="3" fillId="0" borderId="8" xfId="0" applyNumberFormat="1" applyFont="1" applyBorder="1" applyAlignment="1">
      <alignment horizontal="center"/>
    </xf>
    <xf numFmtId="0" fontId="3" fillId="0" borderId="13" xfId="0" applyFont="1" applyBorder="1"/>
    <xf numFmtId="164" fontId="5" fillId="0" borderId="8" xfId="0" applyNumberFormat="1" applyFont="1" applyBorder="1" applyAlignment="1">
      <alignment horizontal="center"/>
    </xf>
    <xf numFmtId="0" fontId="3" fillId="0" borderId="5" xfId="0" applyFont="1" applyBorder="1"/>
    <xf numFmtId="9" fontId="14" fillId="0" borderId="0" xfId="3" applyFont="1"/>
    <xf numFmtId="167" fontId="14" fillId="0" borderId="0" xfId="3" applyNumberFormat="1" applyFont="1"/>
    <xf numFmtId="169" fontId="5" fillId="0" borderId="0" xfId="0" applyNumberFormat="1" applyFont="1"/>
    <xf numFmtId="9" fontId="14" fillId="0" borderId="12" xfId="3" applyFont="1" applyBorder="1"/>
    <xf numFmtId="169" fontId="5" fillId="0" borderId="11" xfId="0" applyNumberFormat="1" applyFont="1" applyBorder="1"/>
    <xf numFmtId="169" fontId="5" fillId="0" borderId="12" xfId="0" applyNumberFormat="1" applyFont="1" applyBorder="1"/>
    <xf numFmtId="169" fontId="5" fillId="0" borderId="13" xfId="0" applyNumberFormat="1" applyFont="1" applyBorder="1"/>
    <xf numFmtId="9" fontId="3" fillId="0" borderId="0" xfId="3" applyFont="1"/>
    <xf numFmtId="169" fontId="3" fillId="0" borderId="4" xfId="5" applyNumberFormat="1" applyFont="1" applyBorder="1"/>
    <xf numFmtId="0" fontId="3" fillId="0" borderId="2" xfId="0" applyFont="1" applyBorder="1"/>
    <xf numFmtId="169" fontId="3" fillId="0" borderId="0" xfId="5" applyNumberFormat="1" applyFont="1" applyBorder="1"/>
    <xf numFmtId="169" fontId="3" fillId="0" borderId="6" xfId="5" applyNumberFormat="1" applyFont="1" applyBorder="1"/>
    <xf numFmtId="169" fontId="3" fillId="0" borderId="7" xfId="5" applyNumberFormat="1" applyFont="1" applyBorder="1"/>
    <xf numFmtId="0" fontId="3" fillId="0" borderId="12" xfId="0" applyFont="1" applyBorder="1"/>
    <xf numFmtId="169" fontId="9" fillId="0" borderId="4" xfId="2" applyNumberFormat="1" applyFont="1" applyBorder="1"/>
    <xf numFmtId="169" fontId="9" fillId="0" borderId="0" xfId="2" applyNumberFormat="1" applyFont="1" applyBorder="1"/>
    <xf numFmtId="9" fontId="16" fillId="0" borderId="0" xfId="4" applyFont="1" applyBorder="1"/>
    <xf numFmtId="169" fontId="9" fillId="0" borderId="4" xfId="0" applyNumberFormat="1" applyFont="1" applyBorder="1"/>
    <xf numFmtId="169" fontId="9" fillId="0" borderId="5" xfId="0" applyNumberFormat="1" applyFont="1" applyBorder="1"/>
    <xf numFmtId="169" fontId="15" fillId="0" borderId="4" xfId="0" applyNumberFormat="1" applyFont="1" applyBorder="1"/>
    <xf numFmtId="169" fontId="3" fillId="0" borderId="6" xfId="0" applyNumberFormat="1" applyFont="1" applyBorder="1"/>
    <xf numFmtId="169" fontId="3" fillId="0" borderId="7" xfId="0" applyNumberFormat="1" applyFont="1" applyBorder="1"/>
    <xf numFmtId="169" fontId="3" fillId="0" borderId="8" xfId="0" applyNumberFormat="1" applyFont="1" applyBorder="1"/>
    <xf numFmtId="169" fontId="3" fillId="0" borderId="4" xfId="0" applyNumberFormat="1" applyFont="1" applyBorder="1"/>
    <xf numFmtId="169" fontId="3" fillId="0" borderId="0" xfId="0" applyNumberFormat="1" applyFont="1"/>
    <xf numFmtId="169" fontId="16" fillId="0" borderId="0" xfId="5" applyNumberFormat="1" applyFont="1" applyBorder="1"/>
    <xf numFmtId="169" fontId="16" fillId="0" borderId="0" xfId="5" applyNumberFormat="1" applyFont="1" applyFill="1" applyBorder="1"/>
    <xf numFmtId="9" fontId="7" fillId="0" borderId="0" xfId="4" applyFont="1" applyBorder="1"/>
    <xf numFmtId="169" fontId="15" fillId="0" borderId="7" xfId="0" applyNumberFormat="1" applyFont="1" applyBorder="1"/>
    <xf numFmtId="9" fontId="16" fillId="0" borderId="2" xfId="4" applyFont="1" applyBorder="1"/>
    <xf numFmtId="9" fontId="17" fillId="0" borderId="12" xfId="3" applyFont="1" applyBorder="1"/>
    <xf numFmtId="0" fontId="7" fillId="0" borderId="2" xfId="0" applyFont="1" applyBorder="1"/>
    <xf numFmtId="10" fontId="6" fillId="0" borderId="1" xfId="3" applyNumberFormat="1" applyFont="1" applyBorder="1"/>
    <xf numFmtId="0" fontId="16" fillId="0" borderId="7" xfId="0" applyFont="1" applyBorder="1"/>
    <xf numFmtId="10" fontId="18" fillId="0" borderId="6" xfId="3" applyNumberFormat="1" applyFont="1" applyBorder="1"/>
    <xf numFmtId="169" fontId="3" fillId="0" borderId="2" xfId="5" applyNumberFormat="1" applyFont="1" applyBorder="1"/>
    <xf numFmtId="0" fontId="16" fillId="0" borderId="2" xfId="0" applyFont="1" applyBorder="1"/>
    <xf numFmtId="0" fontId="16" fillId="0" borderId="0" xfId="0" applyFont="1"/>
    <xf numFmtId="0" fontId="19" fillId="0" borderId="0" xfId="0" applyFont="1"/>
    <xf numFmtId="168" fontId="13" fillId="0" borderId="0" xfId="0" applyNumberFormat="1" applyFont="1"/>
    <xf numFmtId="10" fontId="6" fillId="0" borderId="12" xfId="0" applyNumberFormat="1" applyFont="1" applyBorder="1"/>
    <xf numFmtId="0" fontId="0" fillId="4" borderId="0" xfId="0" applyFill="1"/>
    <xf numFmtId="168" fontId="5" fillId="0" borderId="0" xfId="0" applyNumberFormat="1" applyFont="1"/>
    <xf numFmtId="0" fontId="0" fillId="0" borderId="0" xfId="0" applyAlignment="1">
      <alignment horizontal="center"/>
    </xf>
    <xf numFmtId="0" fontId="0" fillId="0" borderId="12" xfId="0" applyBorder="1"/>
    <xf numFmtId="10" fontId="6" fillId="0" borderId="2" xfId="3" applyNumberFormat="1" applyFont="1" applyBorder="1"/>
    <xf numFmtId="10" fontId="18" fillId="0" borderId="7" xfId="3" applyNumberFormat="1" applyFont="1" applyBorder="1"/>
    <xf numFmtId="0" fontId="5" fillId="4" borderId="4" xfId="0" applyFont="1" applyFill="1" applyBorder="1" applyAlignment="1">
      <alignment horizontal="left" vertical="center"/>
    </xf>
    <xf numFmtId="0" fontId="5" fillId="4" borderId="4" xfId="0" applyFont="1" applyFill="1" applyBorder="1"/>
    <xf numFmtId="1" fontId="5" fillId="4" borderId="5" xfId="0" applyNumberFormat="1" applyFont="1" applyFill="1" applyBorder="1" applyAlignment="1">
      <alignment horizontal="right"/>
    </xf>
    <xf numFmtId="0" fontId="5" fillId="4" borderId="6" xfId="0" applyFont="1" applyFill="1" applyBorder="1" applyAlignment="1">
      <alignment horizontal="left" vertical="center"/>
    </xf>
    <xf numFmtId="169" fontId="3" fillId="0" borderId="0" xfId="5" applyNumberFormat="1" applyFont="1" applyFill="1" applyBorder="1"/>
    <xf numFmtId="169" fontId="6" fillId="4" borderId="11" xfId="2" applyNumberFormat="1" applyFont="1" applyFill="1" applyBorder="1"/>
    <xf numFmtId="169" fontId="9" fillId="0" borderId="0" xfId="4" applyNumberFormat="1" applyFont="1" applyBorder="1"/>
    <xf numFmtId="169" fontId="6" fillId="4" borderId="12" xfId="2" applyNumberFormat="1" applyFont="1" applyFill="1" applyBorder="1"/>
    <xf numFmtId="164" fontId="3" fillId="0" borderId="0" xfId="2" applyNumberFormat="1" applyFont="1"/>
    <xf numFmtId="169" fontId="9" fillId="0" borderId="4" xfId="4" applyNumberFormat="1" applyFont="1" applyBorder="1"/>
    <xf numFmtId="169" fontId="15" fillId="0" borderId="6" xfId="0" applyNumberFormat="1" applyFont="1" applyBorder="1"/>
    <xf numFmtId="164" fontId="3" fillId="0" borderId="4" xfId="0" applyNumberFormat="1" applyFont="1" applyBorder="1"/>
    <xf numFmtId="164" fontId="3" fillId="0" borderId="0" xfId="0" applyNumberFormat="1" applyFont="1"/>
    <xf numFmtId="0" fontId="5" fillId="0" borderId="0" xfId="0" applyFont="1"/>
    <xf numFmtId="10" fontId="6" fillId="0" borderId="0" xfId="0" applyNumberFormat="1" applyFont="1"/>
    <xf numFmtId="169" fontId="6" fillId="0" borderId="0" xfId="0" applyNumberFormat="1" applyFont="1"/>
    <xf numFmtId="169" fontId="6" fillId="0" borderId="12" xfId="0" applyNumberFormat="1" applyFont="1" applyBorder="1"/>
    <xf numFmtId="169" fontId="15" fillId="0" borderId="12" xfId="0" applyNumberFormat="1" applyFont="1" applyBorder="1"/>
    <xf numFmtId="44" fontId="0" fillId="0" borderId="0" xfId="0" applyNumberFormat="1"/>
    <xf numFmtId="0" fontId="0" fillId="0" borderId="1" xfId="0" applyBorder="1"/>
    <xf numFmtId="0" fontId="6" fillId="3" borderId="0" xfId="0" applyFont="1" applyFill="1"/>
    <xf numFmtId="0" fontId="6" fillId="3" borderId="1" xfId="0" applyFont="1" applyFill="1" applyBorder="1"/>
    <xf numFmtId="0" fontId="6" fillId="3" borderId="3" xfId="0" applyFont="1" applyFill="1" applyBorder="1" applyAlignment="1">
      <alignment horizontal="center"/>
    </xf>
    <xf numFmtId="0" fontId="5" fillId="0" borderId="11" xfId="0" applyFont="1" applyBorder="1" applyAlignment="1">
      <alignment horizontal="left"/>
    </xf>
    <xf numFmtId="0" fontId="3" fillId="0" borderId="11" xfId="0" applyFont="1" applyBorder="1" applyAlignment="1">
      <alignment horizontal="left"/>
    </xf>
    <xf numFmtId="164" fontId="3" fillId="0" borderId="13" xfId="0" applyNumberFormat="1" applyFont="1" applyBorder="1" applyAlignment="1">
      <alignment horizontal="center"/>
    </xf>
    <xf numFmtId="0" fontId="6" fillId="3" borderId="2" xfId="0" applyFont="1" applyFill="1" applyBorder="1"/>
    <xf numFmtId="164" fontId="3" fillId="0" borderId="5" xfId="0" applyNumberFormat="1" applyFont="1" applyBorder="1"/>
    <xf numFmtId="0" fontId="0" fillId="4" borderId="0" xfId="0" applyFill="1" applyAlignment="1">
      <alignment horizontal="center"/>
    </xf>
    <xf numFmtId="0" fontId="21" fillId="4" borderId="0" xfId="0" applyFont="1" applyFill="1" applyAlignment="1">
      <alignment horizontal="center"/>
    </xf>
    <xf numFmtId="0" fontId="0" fillId="0" borderId="7" xfId="0" applyBorder="1"/>
    <xf numFmtId="169" fontId="5" fillId="0" borderId="4" xfId="0" applyNumberFormat="1" applyFont="1" applyBorder="1"/>
    <xf numFmtId="0" fontId="2" fillId="0" borderId="0" xfId="0" applyFont="1" applyAlignment="1">
      <alignment vertical="center"/>
    </xf>
    <xf numFmtId="169" fontId="9" fillId="0" borderId="5" xfId="2" applyNumberFormat="1" applyFont="1" applyBorder="1"/>
    <xf numFmtId="169" fontId="9" fillId="0" borderId="5" xfId="4" applyNumberFormat="1" applyFont="1" applyBorder="1"/>
    <xf numFmtId="169" fontId="9" fillId="0" borderId="0" xfId="0" applyNumberFormat="1" applyFont="1"/>
    <xf numFmtId="169" fontId="15" fillId="0" borderId="5" xfId="0" applyNumberFormat="1" applyFont="1" applyBorder="1"/>
    <xf numFmtId="169" fontId="3" fillId="0" borderId="8" xfId="5" applyNumberFormat="1" applyFont="1" applyBorder="1"/>
    <xf numFmtId="169" fontId="6" fillId="4" borderId="13" xfId="2" applyNumberFormat="1" applyFont="1" applyFill="1" applyBorder="1"/>
    <xf numFmtId="169" fontId="3" fillId="0" borderId="5" xfId="0" applyNumberFormat="1" applyFont="1" applyBorder="1"/>
    <xf numFmtId="169" fontId="15" fillId="0" borderId="8" xfId="0" applyNumberFormat="1" applyFont="1" applyBorder="1"/>
    <xf numFmtId="9" fontId="17" fillId="0" borderId="13" xfId="3" applyFont="1" applyBorder="1"/>
    <xf numFmtId="10" fontId="6" fillId="0" borderId="3" xfId="3" applyNumberFormat="1" applyFont="1" applyBorder="1"/>
    <xf numFmtId="10" fontId="18" fillId="0" borderId="8" xfId="3" applyNumberFormat="1" applyFont="1" applyBorder="1"/>
    <xf numFmtId="169" fontId="3" fillId="0" borderId="1" xfId="5" applyNumberFormat="1" applyFont="1" applyBorder="1"/>
    <xf numFmtId="169" fontId="3" fillId="0" borderId="3" xfId="5" applyNumberFormat="1" applyFont="1" applyBorder="1"/>
    <xf numFmtId="169" fontId="3" fillId="0" borderId="1" xfId="5" applyNumberFormat="1" applyFont="1" applyFill="1" applyBorder="1"/>
    <xf numFmtId="169" fontId="3" fillId="0" borderId="4" xfId="5" applyNumberFormat="1" applyFont="1" applyFill="1" applyBorder="1"/>
    <xf numFmtId="169" fontId="3" fillId="0" borderId="5" xfId="5" applyNumberFormat="1" applyFont="1" applyFill="1" applyBorder="1"/>
    <xf numFmtId="168" fontId="13" fillId="0" borderId="4" xfId="0" applyNumberFormat="1" applyFont="1" applyBorder="1"/>
    <xf numFmtId="168" fontId="13" fillId="0" borderId="5" xfId="0" applyNumberFormat="1" applyFont="1" applyBorder="1"/>
    <xf numFmtId="169" fontId="5" fillId="0" borderId="5" xfId="0" applyNumberFormat="1" applyFont="1" applyBorder="1"/>
    <xf numFmtId="169" fontId="15" fillId="0" borderId="11" xfId="0" applyNumberFormat="1" applyFont="1" applyBorder="1"/>
    <xf numFmtId="167" fontId="7" fillId="6" borderId="1" xfId="4" applyNumberFormat="1" applyFont="1" applyFill="1" applyBorder="1"/>
    <xf numFmtId="167" fontId="7" fillId="6" borderId="2" xfId="4" applyNumberFormat="1" applyFont="1" applyFill="1" applyBorder="1"/>
    <xf numFmtId="167" fontId="7" fillId="6" borderId="3" xfId="4" applyNumberFormat="1" applyFont="1" applyFill="1" applyBorder="1"/>
    <xf numFmtId="167" fontId="7" fillId="6" borderId="0" xfId="4" applyNumberFormat="1" applyFont="1" applyFill="1" applyBorder="1"/>
    <xf numFmtId="167" fontId="7" fillId="6" borderId="1" xfId="3" applyNumberFormat="1" applyFont="1" applyFill="1" applyBorder="1"/>
    <xf numFmtId="167" fontId="7" fillId="6" borderId="2" xfId="3" applyNumberFormat="1" applyFont="1" applyFill="1" applyBorder="1"/>
    <xf numFmtId="167" fontId="7" fillId="6" borderId="3" xfId="3" applyNumberFormat="1" applyFont="1" applyFill="1" applyBorder="1"/>
    <xf numFmtId="169" fontId="16" fillId="6" borderId="0" xfId="5" applyNumberFormat="1" applyFont="1" applyFill="1" applyBorder="1"/>
    <xf numFmtId="9" fontId="16" fillId="6" borderId="0" xfId="3" applyFont="1" applyFill="1" applyBorder="1"/>
    <xf numFmtId="9" fontId="16" fillId="6" borderId="0" xfId="4" applyFont="1" applyFill="1" applyBorder="1"/>
    <xf numFmtId="0" fontId="10" fillId="0" borderId="0" xfId="0" applyFont="1"/>
    <xf numFmtId="165" fontId="3" fillId="6" borderId="3" xfId="0" applyNumberFormat="1" applyFont="1" applyFill="1" applyBorder="1"/>
    <xf numFmtId="0" fontId="26" fillId="0" borderId="0" xfId="0" applyFont="1"/>
    <xf numFmtId="169" fontId="11" fillId="4" borderId="3" xfId="2" applyNumberFormat="1" applyFont="1" applyFill="1" applyBorder="1"/>
    <xf numFmtId="169" fontId="11" fillId="4" borderId="13" xfId="2" applyNumberFormat="1" applyFont="1" applyFill="1" applyBorder="1"/>
    <xf numFmtId="169" fontId="6" fillId="5" borderId="12" xfId="0" applyNumberFormat="1" applyFont="1" applyFill="1" applyBorder="1"/>
    <xf numFmtId="169" fontId="11" fillId="5" borderId="12" xfId="2" applyNumberFormat="1" applyFont="1" applyFill="1" applyBorder="1"/>
    <xf numFmtId="0" fontId="2" fillId="5" borderId="23" xfId="0" applyFont="1" applyFill="1" applyBorder="1"/>
    <xf numFmtId="10" fontId="2" fillId="5" borderId="12" xfId="3" applyNumberFormat="1" applyFont="1" applyFill="1" applyBorder="1" applyAlignment="1">
      <alignment horizontal="center"/>
    </xf>
    <xf numFmtId="10" fontId="2" fillId="5" borderId="13" xfId="3" applyNumberFormat="1" applyFont="1" applyFill="1" applyBorder="1" applyAlignment="1">
      <alignment horizontal="center"/>
    </xf>
    <xf numFmtId="169" fontId="5" fillId="0" borderId="0" xfId="2" applyNumberFormat="1" applyFont="1" applyBorder="1" applyAlignment="1">
      <alignment horizontal="center"/>
    </xf>
    <xf numFmtId="0" fontId="13" fillId="7" borderId="4" xfId="0" applyFont="1" applyFill="1" applyBorder="1"/>
    <xf numFmtId="0" fontId="5" fillId="7" borderId="4" xfId="0" applyFont="1" applyFill="1" applyBorder="1"/>
    <xf numFmtId="0" fontId="5" fillId="7" borderId="11" xfId="0" applyFont="1" applyFill="1" applyBorder="1" applyAlignment="1">
      <alignment wrapText="1"/>
    </xf>
    <xf numFmtId="37" fontId="5" fillId="7" borderId="4" xfId="0" applyNumberFormat="1" applyFont="1" applyFill="1" applyBorder="1"/>
    <xf numFmtId="0" fontId="5" fillId="7" borderId="11" xfId="0" applyFont="1" applyFill="1" applyBorder="1"/>
    <xf numFmtId="0" fontId="3" fillId="7" borderId="4" xfId="0" applyFont="1" applyFill="1" applyBorder="1"/>
    <xf numFmtId="0" fontId="3" fillId="7" borderId="1" xfId="0" applyFont="1" applyFill="1" applyBorder="1"/>
    <xf numFmtId="0" fontId="13" fillId="7" borderId="1" xfId="0" applyFont="1" applyFill="1" applyBorder="1"/>
    <xf numFmtId="0" fontId="18" fillId="7" borderId="1" xfId="0" applyFont="1" applyFill="1" applyBorder="1"/>
    <xf numFmtId="0" fontId="5" fillId="7" borderId="4" xfId="0" applyFont="1" applyFill="1" applyBorder="1" applyAlignment="1">
      <alignment wrapText="1"/>
    </xf>
    <xf numFmtId="0" fontId="18" fillId="7" borderId="6" xfId="0" applyFont="1" applyFill="1" applyBorder="1"/>
    <xf numFmtId="0" fontId="3" fillId="7" borderId="0" xfId="0" applyFont="1" applyFill="1"/>
    <xf numFmtId="0" fontId="20" fillId="7" borderId="11" xfId="0" applyFont="1" applyFill="1" applyBorder="1" applyAlignment="1">
      <alignment horizontal="left"/>
    </xf>
    <xf numFmtId="164" fontId="7" fillId="4" borderId="12" xfId="2" applyNumberFormat="1" applyFont="1" applyFill="1" applyBorder="1"/>
    <xf numFmtId="169" fontId="9" fillId="4" borderId="4" xfId="0" applyNumberFormat="1" applyFont="1" applyFill="1" applyBorder="1"/>
    <xf numFmtId="9" fontId="3" fillId="0" borderId="0" xfId="0" applyNumberFormat="1" applyFont="1"/>
    <xf numFmtId="0" fontId="2" fillId="0" borderId="1" xfId="0" applyFont="1" applyBorder="1" applyAlignment="1">
      <alignment vertical="center"/>
    </xf>
    <xf numFmtId="176" fontId="2" fillId="0" borderId="4" xfId="0" applyNumberFormat="1" applyFont="1" applyBorder="1" applyAlignment="1">
      <alignment horizontal="left" vertical="center"/>
    </xf>
    <xf numFmtId="10" fontId="0" fillId="0" borderId="0" xfId="0" applyNumberFormat="1" applyAlignment="1">
      <alignment horizontal="center" vertical="center"/>
    </xf>
    <xf numFmtId="10" fontId="1" fillId="0" borderId="0" xfId="3" applyNumberFormat="1" applyFont="1" applyBorder="1" applyAlignment="1">
      <alignment horizontal="center" vertical="center"/>
    </xf>
    <xf numFmtId="10" fontId="1" fillId="4" borderId="0" xfId="3" applyNumberFormat="1" applyFont="1" applyFill="1" applyBorder="1" applyAlignment="1">
      <alignment horizontal="center"/>
    </xf>
    <xf numFmtId="10" fontId="1" fillId="0" borderId="5" xfId="3" applyNumberFormat="1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5" fillId="0" borderId="2" xfId="0" applyNumberFormat="1" applyFont="1" applyBorder="1" applyAlignment="1">
      <alignment horizontal="center"/>
    </xf>
    <xf numFmtId="164" fontId="2" fillId="0" borderId="3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left" vertical="center"/>
    </xf>
    <xf numFmtId="175" fontId="2" fillId="0" borderId="6" xfId="0" applyNumberFormat="1" applyFont="1" applyBorder="1" applyAlignment="1">
      <alignment horizontal="left"/>
    </xf>
    <xf numFmtId="168" fontId="1" fillId="0" borderId="0" xfId="3" applyNumberFormat="1" applyFont="1" applyBorder="1" applyAlignment="1">
      <alignment horizontal="center" vertical="center"/>
    </xf>
    <xf numFmtId="168" fontId="1" fillId="0" borderId="5" xfId="3" applyNumberFormat="1" applyFont="1" applyBorder="1" applyAlignment="1">
      <alignment horizontal="center" vertical="center"/>
    </xf>
    <xf numFmtId="10" fontId="0" fillId="0" borderId="7" xfId="3" applyNumberFormat="1" applyFont="1" applyBorder="1" applyAlignment="1">
      <alignment horizontal="center"/>
    </xf>
    <xf numFmtId="10" fontId="0" fillId="0" borderId="8" xfId="3" applyNumberFormat="1" applyFont="1" applyBorder="1" applyAlignment="1">
      <alignment horizontal="center"/>
    </xf>
    <xf numFmtId="169" fontId="11" fillId="4" borderId="12" xfId="2" applyNumberFormat="1" applyFont="1" applyFill="1" applyBorder="1"/>
    <xf numFmtId="169" fontId="6" fillId="8" borderId="12" xfId="0" applyNumberFormat="1" applyFont="1" applyFill="1" applyBorder="1"/>
    <xf numFmtId="169" fontId="11" fillId="8" borderId="12" xfId="2" applyNumberFormat="1" applyFont="1" applyFill="1" applyBorder="1"/>
    <xf numFmtId="0" fontId="2" fillId="8" borderId="23" xfId="0" applyFont="1" applyFill="1" applyBorder="1"/>
    <xf numFmtId="10" fontId="2" fillId="8" borderId="12" xfId="3" applyNumberFormat="1" applyFont="1" applyFill="1" applyBorder="1" applyAlignment="1">
      <alignment horizontal="center"/>
    </xf>
    <xf numFmtId="10" fontId="2" fillId="8" borderId="13" xfId="3" applyNumberFormat="1" applyFont="1" applyFill="1" applyBorder="1" applyAlignment="1">
      <alignment horizontal="center"/>
    </xf>
    <xf numFmtId="0" fontId="5" fillId="4" borderId="11" xfId="0" applyFont="1" applyFill="1" applyBorder="1"/>
    <xf numFmtId="10" fontId="6" fillId="4" borderId="12" xfId="4" applyNumberFormat="1" applyFont="1" applyFill="1" applyBorder="1"/>
    <xf numFmtId="169" fontId="6" fillId="4" borderId="12" xfId="0" applyNumberFormat="1" applyFont="1" applyFill="1" applyBorder="1"/>
    <xf numFmtId="169" fontId="2" fillId="5" borderId="11" xfId="0" applyNumberFormat="1" applyFont="1" applyFill="1" applyBorder="1"/>
    <xf numFmtId="169" fontId="2" fillId="5" borderId="12" xfId="0" applyNumberFormat="1" applyFont="1" applyFill="1" applyBorder="1"/>
    <xf numFmtId="169" fontId="2" fillId="5" borderId="13" xfId="0" applyNumberFormat="1" applyFont="1" applyFill="1" applyBorder="1"/>
    <xf numFmtId="169" fontId="2" fillId="4" borderId="11" xfId="0" applyNumberFormat="1" applyFont="1" applyFill="1" applyBorder="1"/>
    <xf numFmtId="169" fontId="2" fillId="4" borderId="12" xfId="0" applyNumberFormat="1" applyFont="1" applyFill="1" applyBorder="1"/>
    <xf numFmtId="169" fontId="2" fillId="4" borderId="13" xfId="0" applyNumberFormat="1" applyFont="1" applyFill="1" applyBorder="1"/>
    <xf numFmtId="169" fontId="2" fillId="8" borderId="11" xfId="0" applyNumberFormat="1" applyFont="1" applyFill="1" applyBorder="1"/>
    <xf numFmtId="169" fontId="2" fillId="8" borderId="12" xfId="0" applyNumberFormat="1" applyFont="1" applyFill="1" applyBorder="1"/>
    <xf numFmtId="169" fontId="2" fillId="8" borderId="13" xfId="0" applyNumberFormat="1" applyFont="1" applyFill="1" applyBorder="1"/>
    <xf numFmtId="10" fontId="28" fillId="5" borderId="12" xfId="4" applyNumberFormat="1" applyFont="1" applyFill="1" applyBorder="1"/>
    <xf numFmtId="10" fontId="28" fillId="4" borderId="12" xfId="4" applyNumberFormat="1" applyFont="1" applyFill="1" applyBorder="1"/>
    <xf numFmtId="10" fontId="28" fillId="8" borderId="12" xfId="4" applyNumberFormat="1" applyFont="1" applyFill="1" applyBorder="1"/>
    <xf numFmtId="166" fontId="3" fillId="0" borderId="0" xfId="0" applyNumberFormat="1" applyFont="1"/>
    <xf numFmtId="0" fontId="3" fillId="9" borderId="1" xfId="0" applyFont="1" applyFill="1" applyBorder="1"/>
    <xf numFmtId="0" fontId="3" fillId="9" borderId="4" xfId="0" applyFont="1" applyFill="1" applyBorder="1"/>
    <xf numFmtId="0" fontId="13" fillId="9" borderId="4" xfId="0" applyFont="1" applyFill="1" applyBorder="1"/>
    <xf numFmtId="0" fontId="5" fillId="9" borderId="11" xfId="0" applyFont="1" applyFill="1" applyBorder="1"/>
    <xf numFmtId="0" fontId="0" fillId="9" borderId="0" xfId="0" applyFill="1"/>
    <xf numFmtId="0" fontId="0" fillId="6" borderId="0" xfId="0" applyFill="1"/>
    <xf numFmtId="37" fontId="0" fillId="6" borderId="0" xfId="0" applyNumberFormat="1" applyFill="1"/>
    <xf numFmtId="44" fontId="0" fillId="6" borderId="0" xfId="2" applyFont="1" applyFill="1"/>
    <xf numFmtId="0" fontId="2" fillId="10" borderId="0" xfId="0" applyFont="1" applyFill="1"/>
    <xf numFmtId="0" fontId="29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0" fillId="0" borderId="0" xfId="0" applyAlignment="1">
      <alignment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horizontal="justify" vertical="center"/>
    </xf>
    <xf numFmtId="0" fontId="31" fillId="0" borderId="0" xfId="0" applyFont="1" applyAlignment="1">
      <alignment vertical="center" wrapText="1"/>
    </xf>
    <xf numFmtId="14" fontId="33" fillId="0" borderId="0" xfId="0" applyNumberFormat="1" applyFont="1" applyAlignment="1">
      <alignment horizontal="left"/>
    </xf>
    <xf numFmtId="0" fontId="31" fillId="0" borderId="0" xfId="0" applyFont="1" applyAlignment="1">
      <alignment horizontal="justify" vertical="center"/>
    </xf>
    <xf numFmtId="0" fontId="30" fillId="0" borderId="0" xfId="0" applyFont="1" applyAlignment="1">
      <alignment vertical="center"/>
    </xf>
    <xf numFmtId="0" fontId="33" fillId="0" borderId="0" xfId="0" applyFont="1"/>
    <xf numFmtId="0" fontId="2" fillId="0" borderId="5" xfId="0" applyFont="1" applyBorder="1" applyAlignment="1">
      <alignment horizontal="right"/>
    </xf>
    <xf numFmtId="44" fontId="0" fillId="6" borderId="0" xfId="0" applyNumberFormat="1" applyFill="1"/>
    <xf numFmtId="0" fontId="2" fillId="0" borderId="4" xfId="0" applyFont="1" applyBorder="1"/>
    <xf numFmtId="0" fontId="5" fillId="0" borderId="0" xfId="0" applyFont="1" applyAlignment="1">
      <alignment horizontal="center"/>
    </xf>
    <xf numFmtId="0" fontId="4" fillId="0" borderId="0" xfId="0" applyFont="1"/>
    <xf numFmtId="10" fontId="5" fillId="0" borderId="0" xfId="0" applyNumberFormat="1" applyFont="1" applyAlignment="1">
      <alignment horizontal="center" vertical="center"/>
    </xf>
    <xf numFmtId="164" fontId="5" fillId="0" borderId="0" xfId="2" applyNumberFormat="1" applyFont="1" applyFill="1" applyBorder="1" applyAlignment="1">
      <alignment horizontal="center" vertical="center"/>
    </xf>
    <xf numFmtId="168" fontId="5" fillId="0" borderId="0" xfId="0" applyNumberFormat="1" applyFont="1" applyAlignment="1">
      <alignment horizontal="center" vertical="center"/>
    </xf>
    <xf numFmtId="0" fontId="4" fillId="4" borderId="0" xfId="0" applyFont="1" applyFill="1"/>
    <xf numFmtId="0" fontId="5" fillId="4" borderId="0" xfId="0" applyFont="1" applyFill="1" applyAlignment="1">
      <alignment horizontal="center"/>
    </xf>
    <xf numFmtId="0" fontId="5" fillId="4" borderId="0" xfId="0" applyFont="1" applyFill="1" applyAlignment="1">
      <alignment horizontal="center" vertical="center"/>
    </xf>
    <xf numFmtId="166" fontId="5" fillId="4" borderId="0" xfId="0" applyNumberFormat="1" applyFont="1" applyFill="1" applyAlignment="1">
      <alignment horizontal="center" vertical="center"/>
    </xf>
    <xf numFmtId="44" fontId="0" fillId="6" borderId="0" xfId="2" applyFont="1" applyFill="1" applyBorder="1" applyProtection="1">
      <protection locked="0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44" fontId="2" fillId="0" borderId="2" xfId="2" applyFont="1" applyBorder="1" applyAlignment="1" applyProtection="1">
      <alignment horizontal="center"/>
    </xf>
    <xf numFmtId="0" fontId="2" fillId="0" borderId="22" xfId="0" applyFont="1" applyBorder="1" applyAlignment="1">
      <alignment horizontal="center"/>
    </xf>
    <xf numFmtId="44" fontId="2" fillId="0" borderId="22" xfId="2" applyFont="1" applyBorder="1" applyAlignment="1" applyProtection="1">
      <alignment horizontal="center" vertical="center"/>
    </xf>
    <xf numFmtId="1" fontId="0" fillId="6" borderId="1" xfId="0" applyNumberFormat="1" applyFill="1" applyBorder="1" applyAlignment="1" applyProtection="1">
      <alignment horizontal="center"/>
      <protection locked="0"/>
    </xf>
    <xf numFmtId="1" fontId="0" fillId="6" borderId="2" xfId="0" applyNumberFormat="1" applyFill="1" applyBorder="1" applyAlignment="1" applyProtection="1">
      <alignment horizontal="center"/>
      <protection locked="0"/>
    </xf>
    <xf numFmtId="0" fontId="0" fillId="6" borderId="2" xfId="0" applyFill="1" applyBorder="1" applyAlignment="1" applyProtection="1">
      <alignment horizontal="center"/>
      <protection locked="0"/>
    </xf>
    <xf numFmtId="174" fontId="0" fillId="6" borderId="2" xfId="1" applyNumberFormat="1" applyFont="1" applyFill="1" applyBorder="1" applyAlignment="1" applyProtection="1">
      <alignment horizontal="center"/>
      <protection locked="0"/>
    </xf>
    <xf numFmtId="44" fontId="0" fillId="6" borderId="2" xfId="2" applyFont="1" applyFill="1" applyBorder="1" applyProtection="1">
      <protection locked="0"/>
    </xf>
    <xf numFmtId="14" fontId="0" fillId="6" borderId="2" xfId="0" applyNumberFormat="1" applyFill="1" applyBorder="1" applyProtection="1">
      <protection locked="0"/>
    </xf>
    <xf numFmtId="1" fontId="0" fillId="6" borderId="4" xfId="0" applyNumberFormat="1" applyFill="1" applyBorder="1" applyAlignment="1" applyProtection="1">
      <alignment horizontal="center"/>
      <protection locked="0"/>
    </xf>
    <xf numFmtId="1" fontId="0" fillId="6" borderId="0" xfId="0" applyNumberFormat="1" applyFill="1" applyAlignment="1" applyProtection="1">
      <alignment horizontal="center"/>
      <protection locked="0"/>
    </xf>
    <xf numFmtId="0" fontId="0" fillId="6" borderId="0" xfId="0" applyFill="1" applyAlignment="1" applyProtection="1">
      <alignment horizontal="center"/>
      <protection locked="0"/>
    </xf>
    <xf numFmtId="174" fontId="0" fillId="6" borderId="0" xfId="1" applyNumberFormat="1" applyFont="1" applyFill="1" applyBorder="1" applyAlignment="1" applyProtection="1">
      <alignment horizontal="center"/>
      <protection locked="0"/>
    </xf>
    <xf numFmtId="14" fontId="0" fillId="6" borderId="0" xfId="0" applyNumberFormat="1" applyFill="1" applyProtection="1">
      <protection locked="0"/>
    </xf>
    <xf numFmtId="14" fontId="0" fillId="6" borderId="0" xfId="0" applyNumberFormat="1" applyFill="1" applyAlignment="1" applyProtection="1">
      <alignment horizontal="right"/>
      <protection locked="0"/>
    </xf>
    <xf numFmtId="169" fontId="0" fillId="6" borderId="0" xfId="2" applyNumberFormat="1" applyFont="1" applyFill="1" applyBorder="1" applyProtection="1">
      <protection locked="0"/>
    </xf>
    <xf numFmtId="169" fontId="0" fillId="6" borderId="7" xfId="2" applyNumberFormat="1" applyFont="1" applyFill="1" applyBorder="1" applyProtection="1">
      <protection locked="0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12" xfId="0" applyFont="1" applyBorder="1"/>
    <xf numFmtId="0" fontId="2" fillId="0" borderId="3" xfId="0" applyFont="1" applyBorder="1"/>
    <xf numFmtId="0" fontId="2" fillId="0" borderId="6" xfId="0" applyFont="1" applyBorder="1"/>
    <xf numFmtId="174" fontId="0" fillId="0" borderId="7" xfId="0" applyNumberFormat="1" applyBorder="1"/>
    <xf numFmtId="44" fontId="0" fillId="0" borderId="8" xfId="2" applyFont="1" applyBorder="1" applyProtection="1"/>
    <xf numFmtId="167" fontId="7" fillId="11" borderId="4" xfId="4" applyNumberFormat="1" applyFont="1" applyFill="1" applyBorder="1"/>
    <xf numFmtId="167" fontId="7" fillId="11" borderId="0" xfId="4" applyNumberFormat="1" applyFont="1" applyFill="1" applyBorder="1"/>
    <xf numFmtId="167" fontId="7" fillId="11" borderId="5" xfId="4" applyNumberFormat="1" applyFont="1" applyFill="1" applyBorder="1"/>
    <xf numFmtId="44" fontId="0" fillId="0" borderId="0" xfId="2" applyFont="1" applyProtection="1"/>
    <xf numFmtId="0" fontId="2" fillId="0" borderId="0" xfId="0" applyFont="1" applyAlignment="1">
      <alignment wrapText="1"/>
    </xf>
    <xf numFmtId="44" fontId="0" fillId="0" borderId="19" xfId="2" applyFont="1" applyBorder="1" applyProtection="1"/>
    <xf numFmtId="44" fontId="0" fillId="0" borderId="1" xfId="2" applyFont="1" applyBorder="1" applyAlignment="1" applyProtection="1">
      <alignment horizontal="center" vertical="center"/>
    </xf>
    <xf numFmtId="9" fontId="0" fillId="0" borderId="19" xfId="3" applyFont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169" fontId="0" fillId="0" borderId="0" xfId="2" applyNumberFormat="1" applyFont="1" applyBorder="1" applyAlignment="1" applyProtection="1">
      <alignment horizontal="center" vertical="center"/>
    </xf>
    <xf numFmtId="174" fontId="0" fillId="0" borderId="0" xfId="1" applyNumberFormat="1" applyFont="1" applyBorder="1" applyAlignment="1" applyProtection="1">
      <alignment horizontal="center" vertical="center"/>
    </xf>
    <xf numFmtId="44" fontId="0" fillId="0" borderId="2" xfId="2" applyFont="1" applyBorder="1" applyProtection="1"/>
    <xf numFmtId="169" fontId="0" fillId="0" borderId="0" xfId="0" applyNumberFormat="1"/>
    <xf numFmtId="44" fontId="0" fillId="0" borderId="3" xfId="2" applyFont="1" applyBorder="1" applyProtection="1"/>
    <xf numFmtId="44" fontId="0" fillId="0" borderId="21" xfId="2" applyFont="1" applyBorder="1" applyProtection="1"/>
    <xf numFmtId="44" fontId="0" fillId="0" borderId="4" xfId="2" applyFont="1" applyBorder="1" applyAlignment="1" applyProtection="1">
      <alignment horizontal="center" vertical="center"/>
    </xf>
    <xf numFmtId="9" fontId="0" fillId="0" borderId="21" xfId="3" applyFont="1" applyBorder="1" applyAlignment="1" applyProtection="1">
      <alignment horizontal="center" vertical="center"/>
    </xf>
    <xf numFmtId="44" fontId="0" fillId="0" borderId="0" xfId="2" applyFont="1" applyBorder="1" applyProtection="1"/>
    <xf numFmtId="44" fontId="0" fillId="0" borderId="5" xfId="2" applyFont="1" applyBorder="1" applyProtection="1"/>
    <xf numFmtId="44" fontId="0" fillId="0" borderId="7" xfId="2" applyFont="1" applyBorder="1" applyProtection="1"/>
    <xf numFmtId="169" fontId="0" fillId="0" borderId="7" xfId="0" applyNumberFormat="1" applyBorder="1"/>
    <xf numFmtId="169" fontId="2" fillId="0" borderId="2" xfId="2" applyNumberFormat="1" applyFont="1" applyBorder="1" applyAlignment="1" applyProtection="1">
      <alignment horizontal="center" vertical="center"/>
    </xf>
    <xf numFmtId="44" fontId="2" fillId="0" borderId="12" xfId="2" applyFont="1" applyBorder="1" applyProtection="1"/>
    <xf numFmtId="169" fontId="2" fillId="0" borderId="12" xfId="0" applyNumberFormat="1" applyFont="1" applyBorder="1"/>
    <xf numFmtId="44" fontId="2" fillId="0" borderId="13" xfId="2" applyFont="1" applyBorder="1" applyProtection="1"/>
    <xf numFmtId="0" fontId="0" fillId="0" borderId="2" xfId="0" applyBorder="1" applyAlignment="1">
      <alignment horizontal="center"/>
    </xf>
    <xf numFmtId="44" fontId="0" fillId="4" borderId="2" xfId="2" applyFont="1" applyFill="1" applyBorder="1" applyProtection="1"/>
    <xf numFmtId="44" fontId="0" fillId="0" borderId="2" xfId="0" applyNumberFormat="1" applyBorder="1"/>
    <xf numFmtId="0" fontId="0" fillId="0" borderId="4" xfId="0" applyBorder="1"/>
    <xf numFmtId="44" fontId="0" fillId="4" borderId="0" xfId="2" applyFont="1" applyFill="1" applyBorder="1" applyProtection="1"/>
    <xf numFmtId="44" fontId="0" fillId="0" borderId="5" xfId="0" applyNumberFormat="1" applyBorder="1"/>
    <xf numFmtId="0" fontId="0" fillId="0" borderId="12" xfId="0" applyBorder="1" applyAlignment="1">
      <alignment horizontal="center"/>
    </xf>
    <xf numFmtId="169" fontId="2" fillId="0" borderId="12" xfId="2" applyNumberFormat="1" applyFont="1" applyBorder="1" applyProtection="1"/>
    <xf numFmtId="44" fontId="2" fillId="0" borderId="13" xfId="0" applyNumberFormat="1" applyFont="1" applyBorder="1"/>
    <xf numFmtId="14" fontId="0" fillId="0" borderId="0" xfId="0" applyNumberFormat="1"/>
    <xf numFmtId="0" fontId="21" fillId="0" borderId="0" xfId="0" applyFont="1" applyAlignment="1">
      <alignment horizontal="center"/>
    </xf>
    <xf numFmtId="2" fontId="0" fillId="0" borderId="0" xfId="0" applyNumberFormat="1"/>
    <xf numFmtId="169" fontId="0" fillId="0" borderId="5" xfId="0" applyNumberFormat="1" applyBorder="1"/>
    <xf numFmtId="169" fontId="2" fillId="0" borderId="13" xfId="0" applyNumberFormat="1" applyFont="1" applyBorder="1"/>
    <xf numFmtId="44" fontId="0" fillId="0" borderId="8" xfId="0" applyNumberFormat="1" applyBorder="1"/>
    <xf numFmtId="174" fontId="0" fillId="0" borderId="12" xfId="0" applyNumberFormat="1" applyBorder="1"/>
    <xf numFmtId="0" fontId="0" fillId="0" borderId="22" xfId="0" applyBorder="1"/>
    <xf numFmtId="44" fontId="2" fillId="0" borderId="11" xfId="2" applyFont="1" applyBorder="1" applyProtection="1"/>
    <xf numFmtId="1" fontId="2" fillId="0" borderId="11" xfId="0" applyNumberFormat="1" applyFont="1" applyBorder="1" applyAlignment="1">
      <alignment horizontal="left"/>
    </xf>
    <xf numFmtId="1" fontId="2" fillId="0" borderId="12" xfId="0" applyNumberFormat="1" applyFont="1" applyBorder="1" applyAlignment="1">
      <alignment horizontal="left"/>
    </xf>
    <xf numFmtId="44" fontId="0" fillId="0" borderId="12" xfId="0" applyNumberFormat="1" applyBorder="1"/>
    <xf numFmtId="44" fontId="0" fillId="0" borderId="11" xfId="0" applyNumberFormat="1" applyBorder="1"/>
    <xf numFmtId="44" fontId="0" fillId="0" borderId="13" xfId="0" applyNumberFormat="1" applyBorder="1"/>
    <xf numFmtId="0" fontId="0" fillId="4" borderId="2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0" borderId="4" xfId="0" applyBorder="1" applyAlignment="1">
      <alignment horizontal="left" vertical="center"/>
    </xf>
    <xf numFmtId="0" fontId="4" fillId="2" borderId="1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36" fillId="0" borderId="21" xfId="0" applyFont="1" applyBorder="1" applyAlignment="1">
      <alignment horizontal="left" vertical="center" wrapText="1"/>
    </xf>
    <xf numFmtId="0" fontId="36" fillId="0" borderId="20" xfId="0" applyFont="1" applyBorder="1" applyAlignment="1">
      <alignment horizontal="left" vertical="center" wrapText="1"/>
    </xf>
    <xf numFmtId="0" fontId="38" fillId="0" borderId="21" xfId="0" applyFont="1" applyBorder="1" applyAlignment="1">
      <alignment horizontal="left" vertical="center" wrapText="1"/>
    </xf>
    <xf numFmtId="44" fontId="10" fillId="0" borderId="0" xfId="2" applyFont="1"/>
    <xf numFmtId="0" fontId="40" fillId="4" borderId="0" xfId="0" applyFont="1" applyFill="1"/>
    <xf numFmtId="0" fontId="36" fillId="0" borderId="0" xfId="0" applyFont="1" applyAlignment="1">
      <alignment horizontal="left" vertical="center" wrapText="1"/>
    </xf>
    <xf numFmtId="0" fontId="2" fillId="4" borderId="0" xfId="0" applyFont="1" applyFill="1" applyAlignment="1">
      <alignment horizontal="right"/>
    </xf>
    <xf numFmtId="0" fontId="2" fillId="0" borderId="0" xfId="0" applyFont="1" applyAlignment="1">
      <alignment horizontal="right"/>
    </xf>
    <xf numFmtId="9" fontId="17" fillId="0" borderId="11" xfId="3" applyFont="1" applyBorder="1"/>
    <xf numFmtId="0" fontId="4" fillId="2" borderId="1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0" fontId="5" fillId="0" borderId="2" xfId="0" applyFont="1" applyBorder="1" applyAlignment="1">
      <alignment horizontal="right"/>
    </xf>
    <xf numFmtId="0" fontId="5" fillId="0" borderId="3" xfId="0" applyFont="1" applyBorder="1" applyAlignment="1">
      <alignment horizontal="right"/>
    </xf>
    <xf numFmtId="0" fontId="5" fillId="0" borderId="0" xfId="0" applyFont="1" applyAlignment="1">
      <alignment horizontal="right"/>
    </xf>
    <xf numFmtId="0" fontId="5" fillId="0" borderId="5" xfId="0" applyFont="1" applyBorder="1" applyAlignment="1">
      <alignment horizontal="right"/>
    </xf>
    <xf numFmtId="0" fontId="2" fillId="4" borderId="0" xfId="0" applyFont="1" applyFill="1" applyAlignment="1">
      <alignment horizontal="right"/>
    </xf>
    <xf numFmtId="0" fontId="2" fillId="4" borderId="5" xfId="0" applyFont="1" applyFill="1" applyBorder="1" applyAlignment="1">
      <alignment horizontal="right"/>
    </xf>
    <xf numFmtId="0" fontId="2" fillId="0" borderId="2" xfId="0" applyFont="1" applyBorder="1" applyAlignment="1">
      <alignment horizontal="center"/>
    </xf>
    <xf numFmtId="0" fontId="5" fillId="3" borderId="4" xfId="0" applyFont="1" applyFill="1" applyBorder="1" applyAlignment="1">
      <alignment horizontal="left"/>
    </xf>
    <xf numFmtId="0" fontId="5" fillId="3" borderId="5" xfId="0" applyFont="1" applyFill="1" applyBorder="1" applyAlignment="1">
      <alignment horizontal="left"/>
    </xf>
    <xf numFmtId="169" fontId="5" fillId="0" borderId="0" xfId="0" applyNumberFormat="1" applyFont="1" applyAlignment="1">
      <alignment horizontal="center"/>
    </xf>
    <xf numFmtId="0" fontId="0" fillId="0" borderId="0" xfId="0" applyAlignment="1">
      <alignment horizontal="left" vertical="center"/>
    </xf>
    <xf numFmtId="0" fontId="5" fillId="7" borderId="1" xfId="0" applyFont="1" applyFill="1" applyBorder="1"/>
    <xf numFmtId="0" fontId="3" fillId="0" borderId="0" xfId="0" applyFont="1" applyBorder="1"/>
    <xf numFmtId="0" fontId="3" fillId="7" borderId="6" xfId="0" applyFont="1" applyFill="1" applyBorder="1"/>
    <xf numFmtId="169" fontId="16" fillId="6" borderId="7" xfId="5" applyNumberFormat="1" applyFont="1" applyFill="1" applyBorder="1"/>
    <xf numFmtId="0" fontId="10" fillId="12" borderId="1" xfId="0" applyFont="1" applyFill="1" applyBorder="1"/>
    <xf numFmtId="0" fontId="10" fillId="12" borderId="2" xfId="0" applyFont="1" applyFill="1" applyBorder="1"/>
    <xf numFmtId="14" fontId="4" fillId="12" borderId="11" xfId="0" applyNumberFormat="1" applyFont="1" applyFill="1" applyBorder="1" applyAlignment="1">
      <alignment horizontal="center"/>
    </xf>
    <xf numFmtId="14" fontId="4" fillId="12" borderId="12" xfId="0" applyNumberFormat="1" applyFont="1" applyFill="1" applyBorder="1" applyAlignment="1">
      <alignment horizontal="center"/>
    </xf>
    <xf numFmtId="14" fontId="4" fillId="12" borderId="13" xfId="0" applyNumberFormat="1" applyFont="1" applyFill="1" applyBorder="1" applyAlignment="1">
      <alignment horizontal="center"/>
    </xf>
    <xf numFmtId="14" fontId="4" fillId="12" borderId="1" xfId="0" applyNumberFormat="1" applyFont="1" applyFill="1" applyBorder="1" applyAlignment="1">
      <alignment horizontal="center"/>
    </xf>
    <xf numFmtId="14" fontId="4" fillId="12" borderId="2" xfId="0" applyNumberFormat="1" applyFont="1" applyFill="1" applyBorder="1" applyAlignment="1">
      <alignment horizontal="center"/>
    </xf>
    <xf numFmtId="14" fontId="4" fillId="12" borderId="3" xfId="0" applyNumberFormat="1" applyFont="1" applyFill="1" applyBorder="1" applyAlignment="1">
      <alignment horizontal="center"/>
    </xf>
    <xf numFmtId="0" fontId="10" fillId="12" borderId="6" xfId="0" applyFont="1" applyFill="1" applyBorder="1"/>
    <xf numFmtId="165" fontId="4" fillId="12" borderId="4" xfId="0" applyNumberFormat="1" applyFont="1" applyFill="1" applyBorder="1" applyAlignment="1">
      <alignment horizontal="center"/>
    </xf>
    <xf numFmtId="165" fontId="4" fillId="12" borderId="0" xfId="0" applyNumberFormat="1" applyFont="1" applyFill="1" applyAlignment="1">
      <alignment horizontal="center"/>
    </xf>
    <xf numFmtId="165" fontId="4" fillId="12" borderId="5" xfId="0" applyNumberFormat="1" applyFont="1" applyFill="1" applyBorder="1" applyAlignment="1">
      <alignment horizontal="center"/>
    </xf>
    <xf numFmtId="0" fontId="3" fillId="9" borderId="14" xfId="0" applyFont="1" applyFill="1" applyBorder="1"/>
    <xf numFmtId="0" fontId="3" fillId="4" borderId="4" xfId="0" applyFont="1" applyFill="1" applyBorder="1"/>
    <xf numFmtId="0" fontId="3" fillId="4" borderId="6" xfId="0" applyFont="1" applyFill="1" applyBorder="1"/>
    <xf numFmtId="164" fontId="5" fillId="4" borderId="5" xfId="0" applyNumberFormat="1" applyFont="1" applyFill="1" applyBorder="1" applyAlignment="1">
      <alignment horizontal="center" vertical="center"/>
    </xf>
    <xf numFmtId="166" fontId="5" fillId="4" borderId="5" xfId="0" applyNumberFormat="1" applyFont="1" applyFill="1" applyBorder="1" applyAlignment="1">
      <alignment horizontal="center" vertical="center"/>
    </xf>
    <xf numFmtId="166" fontId="5" fillId="4" borderId="8" xfId="0" applyNumberFormat="1" applyFont="1" applyFill="1" applyBorder="1" applyAlignment="1">
      <alignment horizontal="center" vertical="center"/>
    </xf>
    <xf numFmtId="10" fontId="5" fillId="4" borderId="0" xfId="0" applyNumberFormat="1" applyFont="1" applyFill="1" applyAlignment="1">
      <alignment horizontal="center" vertical="center"/>
    </xf>
    <xf numFmtId="10" fontId="5" fillId="4" borderId="5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10" fontId="5" fillId="4" borderId="2" xfId="0" applyNumberFormat="1" applyFont="1" applyFill="1" applyBorder="1" applyAlignment="1">
      <alignment horizontal="center" vertical="center"/>
    </xf>
    <xf numFmtId="164" fontId="5" fillId="4" borderId="3" xfId="2" applyNumberFormat="1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left" vertical="center"/>
    </xf>
    <xf numFmtId="10" fontId="5" fillId="4" borderId="15" xfId="0" applyNumberFormat="1" applyFont="1" applyFill="1" applyBorder="1" applyAlignment="1">
      <alignment horizontal="center" vertical="center"/>
    </xf>
    <xf numFmtId="168" fontId="5" fillId="4" borderId="16" xfId="0" applyNumberFormat="1" applyFont="1" applyFill="1" applyBorder="1" applyAlignment="1">
      <alignment horizontal="center" vertical="center"/>
    </xf>
    <xf numFmtId="164" fontId="5" fillId="4" borderId="5" xfId="2" applyNumberFormat="1" applyFont="1" applyFill="1" applyBorder="1" applyAlignment="1">
      <alignment horizontal="center" vertical="center"/>
    </xf>
    <xf numFmtId="10" fontId="5" fillId="4" borderId="7" xfId="0" applyNumberFormat="1" applyFont="1" applyFill="1" applyBorder="1" applyAlignment="1">
      <alignment horizontal="center" vertical="center"/>
    </xf>
    <xf numFmtId="10" fontId="5" fillId="4" borderId="8" xfId="3" applyNumberFormat="1" applyFont="1" applyFill="1" applyBorder="1" applyAlignment="1">
      <alignment horizontal="center" vertical="center"/>
    </xf>
    <xf numFmtId="0" fontId="27" fillId="4" borderId="11" xfId="0" applyFont="1" applyFill="1" applyBorder="1" applyAlignment="1">
      <alignment horizontal="center"/>
    </xf>
    <xf numFmtId="164" fontId="27" fillId="4" borderId="12" xfId="0" applyNumberFormat="1" applyFont="1" applyFill="1" applyBorder="1" applyAlignment="1">
      <alignment horizontal="center"/>
    </xf>
    <xf numFmtId="0" fontId="27" fillId="4" borderId="13" xfId="0" applyFont="1" applyFill="1" applyBorder="1" applyAlignment="1">
      <alignment horizontal="center"/>
    </xf>
    <xf numFmtId="0" fontId="25" fillId="12" borderId="11" xfId="0" applyFont="1" applyFill="1" applyBorder="1" applyAlignment="1">
      <alignment horizontal="center"/>
    </xf>
    <xf numFmtId="0" fontId="25" fillId="12" borderId="12" xfId="0" applyFont="1" applyFill="1" applyBorder="1" applyAlignment="1">
      <alignment horizontal="center"/>
    </xf>
    <xf numFmtId="0" fontId="25" fillId="12" borderId="13" xfId="0" applyFont="1" applyFill="1" applyBorder="1" applyAlignment="1">
      <alignment horizontal="center"/>
    </xf>
    <xf numFmtId="164" fontId="5" fillId="4" borderId="0" xfId="2" applyNumberFormat="1" applyFont="1" applyFill="1" applyAlignment="1">
      <alignment horizontal="center" vertical="center"/>
    </xf>
    <xf numFmtId="164" fontId="5" fillId="4" borderId="0" xfId="0" applyNumberFormat="1" applyFont="1" applyFill="1" applyAlignment="1">
      <alignment horizontal="center" vertical="center"/>
    </xf>
    <xf numFmtId="166" fontId="5" fillId="4" borderId="7" xfId="0" applyNumberFormat="1" applyFont="1" applyFill="1" applyBorder="1" applyAlignment="1">
      <alignment horizontal="center" vertical="center"/>
    </xf>
    <xf numFmtId="0" fontId="21" fillId="15" borderId="4" xfId="0" applyFont="1" applyFill="1" applyBorder="1" applyAlignment="1">
      <alignment vertical="center"/>
    </xf>
    <xf numFmtId="9" fontId="21" fillId="15" borderId="0" xfId="3" applyFont="1" applyFill="1" applyBorder="1" applyAlignment="1">
      <alignment horizontal="center" vertical="center"/>
    </xf>
    <xf numFmtId="0" fontId="21" fillId="15" borderId="0" xfId="0" applyFont="1" applyFill="1" applyAlignment="1">
      <alignment vertical="center"/>
    </xf>
    <xf numFmtId="9" fontId="21" fillId="15" borderId="5" xfId="3" applyFont="1" applyFill="1" applyBorder="1" applyAlignment="1">
      <alignment horizontal="center" vertical="center"/>
    </xf>
    <xf numFmtId="10" fontId="5" fillId="4" borderId="8" xfId="0" applyNumberFormat="1" applyFont="1" applyFill="1" applyBorder="1" applyAlignment="1">
      <alignment horizontal="center" vertical="center"/>
    </xf>
    <xf numFmtId="0" fontId="5" fillId="16" borderId="4" xfId="0" applyFont="1" applyFill="1" applyBorder="1" applyAlignment="1">
      <alignment horizontal="left" vertical="center"/>
    </xf>
    <xf numFmtId="10" fontId="5" fillId="16" borderId="0" xfId="0" applyNumberFormat="1" applyFont="1" applyFill="1" applyAlignment="1">
      <alignment horizontal="center" vertical="center"/>
    </xf>
    <xf numFmtId="164" fontId="5" fillId="16" borderId="5" xfId="2" applyNumberFormat="1" applyFont="1" applyFill="1" applyBorder="1" applyAlignment="1">
      <alignment horizontal="center" vertical="center"/>
    </xf>
    <xf numFmtId="0" fontId="5" fillId="16" borderId="14" xfId="0" applyFont="1" applyFill="1" applyBorder="1" applyAlignment="1">
      <alignment horizontal="left" vertical="center"/>
    </xf>
    <xf numFmtId="10" fontId="5" fillId="16" borderId="15" xfId="0" applyNumberFormat="1" applyFont="1" applyFill="1" applyBorder="1" applyAlignment="1">
      <alignment horizontal="center" vertical="center"/>
    </xf>
    <xf numFmtId="168" fontId="5" fillId="16" borderId="16" xfId="0" applyNumberFormat="1" applyFont="1" applyFill="1" applyBorder="1" applyAlignment="1">
      <alignment horizontal="center" vertical="center"/>
    </xf>
    <xf numFmtId="0" fontId="5" fillId="16" borderId="6" xfId="0" applyFont="1" applyFill="1" applyBorder="1" applyAlignment="1">
      <alignment horizontal="left" vertical="center"/>
    </xf>
    <xf numFmtId="10" fontId="5" fillId="16" borderId="7" xfId="0" applyNumberFormat="1" applyFont="1" applyFill="1" applyBorder="1" applyAlignment="1">
      <alignment horizontal="center" vertical="center"/>
    </xf>
    <xf numFmtId="10" fontId="5" fillId="16" borderId="8" xfId="3" applyNumberFormat="1" applyFont="1" applyFill="1" applyBorder="1" applyAlignment="1">
      <alignment horizontal="center" vertical="center"/>
    </xf>
    <xf numFmtId="0" fontId="3" fillId="4" borderId="5" xfId="0" applyFont="1" applyFill="1" applyBorder="1"/>
    <xf numFmtId="0" fontId="3" fillId="4" borderId="8" xfId="0" applyFont="1" applyFill="1" applyBorder="1"/>
    <xf numFmtId="169" fontId="41" fillId="0" borderId="6" xfId="2" applyNumberFormat="1" applyFont="1" applyBorder="1"/>
    <xf numFmtId="169" fontId="41" fillId="0" borderId="7" xfId="2" applyNumberFormat="1" applyFont="1" applyBorder="1"/>
    <xf numFmtId="169" fontId="41" fillId="0" borderId="8" xfId="2" applyNumberFormat="1" applyFont="1" applyBorder="1"/>
    <xf numFmtId="169" fontId="9" fillId="0" borderId="0" xfId="0" applyNumberFormat="1" applyFont="1" applyBorder="1"/>
    <xf numFmtId="169" fontId="15" fillId="0" borderId="0" xfId="0" applyNumberFormat="1" applyFont="1" applyBorder="1"/>
    <xf numFmtId="0" fontId="25" fillId="14" borderId="11" xfId="0" applyFont="1" applyFill="1" applyBorder="1" applyAlignment="1">
      <alignment horizontal="center"/>
    </xf>
    <xf numFmtId="0" fontId="25" fillId="14" borderId="12" xfId="0" applyFont="1" applyFill="1" applyBorder="1" applyAlignment="1">
      <alignment horizontal="center"/>
    </xf>
    <xf numFmtId="0" fontId="25" fillId="14" borderId="13" xfId="0" applyFont="1" applyFill="1" applyBorder="1" applyAlignment="1">
      <alignment horizontal="center"/>
    </xf>
    <xf numFmtId="0" fontId="26" fillId="4" borderId="11" xfId="0" applyFont="1" applyFill="1" applyBorder="1" applyAlignment="1">
      <alignment horizontal="center"/>
    </xf>
    <xf numFmtId="0" fontId="26" fillId="4" borderId="12" xfId="0" applyFont="1" applyFill="1" applyBorder="1" applyAlignment="1">
      <alignment horizontal="center"/>
    </xf>
    <xf numFmtId="0" fontId="26" fillId="4" borderId="13" xfId="0" applyFont="1" applyFill="1" applyBorder="1" applyAlignment="1">
      <alignment horizontal="center"/>
    </xf>
    <xf numFmtId="0" fontId="4" fillId="12" borderId="11" xfId="0" applyFont="1" applyFill="1" applyBorder="1" applyAlignment="1">
      <alignment horizontal="center"/>
    </xf>
    <xf numFmtId="0" fontId="4" fillId="12" borderId="12" xfId="0" applyFont="1" applyFill="1" applyBorder="1" applyAlignment="1">
      <alignment horizontal="center"/>
    </xf>
    <xf numFmtId="0" fontId="4" fillId="12" borderId="13" xfId="0" applyFont="1" applyFill="1" applyBorder="1" applyAlignment="1">
      <alignment horizontal="center"/>
    </xf>
    <xf numFmtId="0" fontId="4" fillId="14" borderId="11" xfId="0" applyFont="1" applyFill="1" applyBorder="1" applyAlignment="1">
      <alignment horizontal="center"/>
    </xf>
    <xf numFmtId="0" fontId="4" fillId="14" borderId="12" xfId="0" applyFont="1" applyFill="1" applyBorder="1" applyAlignment="1">
      <alignment horizontal="center"/>
    </xf>
    <xf numFmtId="0" fontId="4" fillId="14" borderId="13" xfId="0" applyFont="1" applyFill="1" applyBorder="1" applyAlignment="1">
      <alignment horizontal="center"/>
    </xf>
    <xf numFmtId="0" fontId="21" fillId="14" borderId="19" xfId="0" applyFont="1" applyFill="1" applyBorder="1" applyAlignment="1">
      <alignment horizontal="center"/>
    </xf>
    <xf numFmtId="9" fontId="21" fillId="14" borderId="20" xfId="3" applyFont="1" applyFill="1" applyBorder="1" applyAlignment="1" applyProtection="1">
      <alignment horizontal="center"/>
    </xf>
    <xf numFmtId="178" fontId="21" fillId="14" borderId="20" xfId="3" applyNumberFormat="1" applyFont="1" applyFill="1" applyBorder="1" applyAlignment="1" applyProtection="1">
      <alignment horizontal="center"/>
    </xf>
    <xf numFmtId="0" fontId="21" fillId="17" borderId="19" xfId="0" applyFont="1" applyFill="1" applyBorder="1" applyAlignment="1">
      <alignment horizontal="center"/>
    </xf>
    <xf numFmtId="9" fontId="21" fillId="17" borderId="20" xfId="3" applyFont="1" applyFill="1" applyBorder="1" applyAlignment="1" applyProtection="1">
      <alignment horizontal="center"/>
    </xf>
    <xf numFmtId="169" fontId="12" fillId="16" borderId="11" xfId="2" applyNumberFormat="1" applyFont="1" applyFill="1" applyBorder="1"/>
    <xf numFmtId="9" fontId="3" fillId="16" borderId="4" xfId="3" applyFont="1" applyFill="1" applyBorder="1"/>
    <xf numFmtId="169" fontId="3" fillId="16" borderId="4" xfId="2" applyNumberFormat="1" applyFont="1" applyFill="1" applyBorder="1"/>
    <xf numFmtId="169" fontId="3" fillId="16" borderId="6" xfId="2" applyNumberFormat="1" applyFont="1" applyFill="1" applyBorder="1"/>
    <xf numFmtId="169" fontId="5" fillId="16" borderId="1" xfId="2" applyNumberFormat="1" applyFont="1" applyFill="1" applyBorder="1"/>
    <xf numFmtId="9" fontId="3" fillId="16" borderId="1" xfId="3" applyFont="1" applyFill="1" applyBorder="1"/>
    <xf numFmtId="169" fontId="5" fillId="16" borderId="4" xfId="2" applyNumberFormat="1" applyFont="1" applyFill="1" applyBorder="1"/>
    <xf numFmtId="169" fontId="5" fillId="16" borderId="11" xfId="2" applyNumberFormat="1" applyFont="1" applyFill="1" applyBorder="1"/>
    <xf numFmtId="169" fontId="3" fillId="16" borderId="1" xfId="2" applyNumberFormat="1" applyFont="1" applyFill="1" applyBorder="1"/>
    <xf numFmtId="10" fontId="5" fillId="16" borderId="1" xfId="3" applyNumberFormat="1" applyFont="1" applyFill="1" applyBorder="1"/>
    <xf numFmtId="10" fontId="3" fillId="16" borderId="4" xfId="3" applyNumberFormat="1" applyFont="1" applyFill="1" applyBorder="1"/>
    <xf numFmtId="169" fontId="13" fillId="16" borderId="4" xfId="2" applyNumberFormat="1" applyFont="1" applyFill="1" applyBorder="1"/>
    <xf numFmtId="0" fontId="4" fillId="2" borderId="1" xfId="0" applyFont="1" applyFill="1" applyBorder="1" applyAlignment="1"/>
    <xf numFmtId="0" fontId="4" fillId="2" borderId="2" xfId="0" applyFont="1" applyFill="1" applyBorder="1" applyAlignment="1"/>
    <xf numFmtId="0" fontId="4" fillId="2" borderId="3" xfId="0" applyFont="1" applyFill="1" applyBorder="1" applyAlignment="1"/>
    <xf numFmtId="0" fontId="3" fillId="17" borderId="5" xfId="0" applyFont="1" applyFill="1" applyBorder="1" applyAlignment="1">
      <alignment horizontal="center"/>
    </xf>
    <xf numFmtId="0" fontId="21" fillId="12" borderId="11" xfId="0" applyFont="1" applyFill="1" applyBorder="1" applyAlignment="1">
      <alignment horizontal="center"/>
    </xf>
    <xf numFmtId="0" fontId="21" fillId="12" borderId="13" xfId="0" applyFont="1" applyFill="1" applyBorder="1" applyAlignment="1">
      <alignment horizontal="center"/>
    </xf>
    <xf numFmtId="37" fontId="0" fillId="16" borderId="4" xfId="0" applyNumberFormat="1" applyFill="1" applyBorder="1"/>
    <xf numFmtId="44" fontId="0" fillId="16" borderId="5" xfId="2" applyFont="1" applyFill="1" applyBorder="1"/>
    <xf numFmtId="0" fontId="2" fillId="16" borderId="14" xfId="0" applyFont="1" applyFill="1" applyBorder="1"/>
    <xf numFmtId="44" fontId="0" fillId="16" borderId="16" xfId="2" applyFont="1" applyFill="1" applyBorder="1"/>
    <xf numFmtId="0" fontId="0" fillId="16" borderId="4" xfId="0" applyFill="1" applyBorder="1"/>
    <xf numFmtId="44" fontId="23" fillId="16" borderId="5" xfId="2" applyFont="1" applyFill="1" applyBorder="1"/>
    <xf numFmtId="0" fontId="2" fillId="16" borderId="17" xfId="0" applyFont="1" applyFill="1" applyBorder="1"/>
    <xf numFmtId="44" fontId="24" fillId="16" borderId="18" xfId="0" applyNumberFormat="1" applyFont="1" applyFill="1" applyBorder="1"/>
    <xf numFmtId="0" fontId="2" fillId="16" borderId="11" xfId="0" applyFont="1" applyFill="1" applyBorder="1"/>
    <xf numFmtId="44" fontId="2" fillId="16" borderId="13" xfId="0" applyNumberFormat="1" applyFont="1" applyFill="1" applyBorder="1"/>
    <xf numFmtId="0" fontId="4" fillId="14" borderId="1" xfId="0" applyFont="1" applyFill="1" applyBorder="1" applyAlignment="1">
      <alignment horizontal="center"/>
    </xf>
    <xf numFmtId="0" fontId="4" fillId="14" borderId="2" xfId="0" applyFont="1" applyFill="1" applyBorder="1" applyAlignment="1">
      <alignment horizontal="center"/>
    </xf>
    <xf numFmtId="0" fontId="2" fillId="0" borderId="0" xfId="0" applyFont="1" applyBorder="1" applyAlignment="1">
      <alignment horizontal="center" vertical="center" wrapText="1"/>
    </xf>
    <xf numFmtId="43" fontId="2" fillId="4" borderId="7" xfId="1" applyFont="1" applyFill="1" applyBorder="1" applyAlignment="1">
      <alignment horizontal="right"/>
    </xf>
    <xf numFmtId="43" fontId="2" fillId="4" borderId="8" xfId="1" applyFont="1" applyFill="1" applyBorder="1" applyAlignment="1">
      <alignment horizontal="right"/>
    </xf>
    <xf numFmtId="43" fontId="5" fillId="4" borderId="5" xfId="1" applyFont="1" applyFill="1" applyBorder="1" applyAlignment="1">
      <alignment horizontal="right"/>
    </xf>
    <xf numFmtId="169" fontId="2" fillId="0" borderId="12" xfId="2" applyNumberFormat="1" applyFont="1" applyBorder="1" applyAlignment="1" applyProtection="1">
      <alignment horizontal="center"/>
    </xf>
    <xf numFmtId="44" fontId="0" fillId="0" borderId="0" xfId="0" applyNumberFormat="1" applyBorder="1"/>
    <xf numFmtId="44" fontId="2" fillId="0" borderId="12" xfId="0" applyNumberFormat="1" applyFont="1" applyBorder="1"/>
    <xf numFmtId="169" fontId="0" fillId="6" borderId="2" xfId="2" applyNumberFormat="1" applyFont="1" applyFill="1" applyBorder="1" applyAlignment="1" applyProtection="1">
      <alignment horizontal="center"/>
      <protection locked="0"/>
    </xf>
    <xf numFmtId="169" fontId="0" fillId="6" borderId="0" xfId="2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6" xfId="0" applyBorder="1" applyAlignment="1">
      <alignment horizontal="left" vertical="center"/>
    </xf>
    <xf numFmtId="14" fontId="3" fillId="12" borderId="7" xfId="0" applyNumberFormat="1" applyFont="1" applyFill="1" applyBorder="1"/>
    <xf numFmtId="0" fontId="3" fillId="16" borderId="21" xfId="0" applyFont="1" applyFill="1" applyBorder="1"/>
    <xf numFmtId="169" fontId="6" fillId="16" borderId="21" xfId="0" applyNumberFormat="1" applyFont="1" applyFill="1" applyBorder="1"/>
    <xf numFmtId="169" fontId="6" fillId="16" borderId="21" xfId="3" applyNumberFormat="1" applyFont="1" applyFill="1" applyBorder="1"/>
    <xf numFmtId="0" fontId="3" fillId="16" borderId="4" xfId="2" applyNumberFormat="1" applyFont="1" applyFill="1" applyBorder="1"/>
    <xf numFmtId="9" fontId="13" fillId="16" borderId="22" xfId="3" applyFont="1" applyFill="1" applyBorder="1"/>
    <xf numFmtId="0" fontId="3" fillId="7" borderId="14" xfId="0" applyFont="1" applyFill="1" applyBorder="1"/>
    <xf numFmtId="0" fontId="3" fillId="0" borderId="15" xfId="0" applyFont="1" applyBorder="1"/>
    <xf numFmtId="9" fontId="3" fillId="16" borderId="14" xfId="3" applyFont="1" applyFill="1" applyBorder="1"/>
    <xf numFmtId="167" fontId="7" fillId="6" borderId="14" xfId="4" applyNumberFormat="1" applyFont="1" applyFill="1" applyBorder="1"/>
    <xf numFmtId="167" fontId="7" fillId="6" borderId="15" xfId="4" applyNumberFormat="1" applyFont="1" applyFill="1" applyBorder="1"/>
    <xf numFmtId="167" fontId="7" fillId="6" borderId="16" xfId="4" applyNumberFormat="1" applyFont="1" applyFill="1" applyBorder="1"/>
    <xf numFmtId="0" fontId="3" fillId="16" borderId="22" xfId="2" applyNumberFormat="1" applyFont="1" applyFill="1" applyBorder="1"/>
    <xf numFmtId="169" fontId="15" fillId="0" borderId="13" xfId="0" applyNumberFormat="1" applyFont="1" applyBorder="1"/>
    <xf numFmtId="10" fontId="3" fillId="0" borderId="0" xfId="0" applyNumberFormat="1" applyFont="1" applyBorder="1"/>
    <xf numFmtId="0" fontId="0" fillId="4" borderId="4" xfId="0" applyFill="1" applyBorder="1"/>
    <xf numFmtId="0" fontId="0" fillId="4" borderId="0" xfId="0" applyFill="1" applyBorder="1"/>
    <xf numFmtId="0" fontId="0" fillId="0" borderId="0" xfId="0" applyBorder="1"/>
    <xf numFmtId="164" fontId="0" fillId="0" borderId="0" xfId="0" applyNumberFormat="1" applyBorder="1"/>
    <xf numFmtId="0" fontId="0" fillId="0" borderId="5" xfId="0" applyBorder="1"/>
    <xf numFmtId="181" fontId="32" fillId="0" borderId="0" xfId="0" applyNumberFormat="1" applyFont="1" applyAlignment="1">
      <alignment vertical="center"/>
    </xf>
    <xf numFmtId="0" fontId="42" fillId="6" borderId="5" xfId="0" applyFont="1" applyFill="1" applyBorder="1"/>
    <xf numFmtId="10" fontId="43" fillId="0" borderId="0" xfId="3" applyNumberFormat="1" applyFont="1" applyBorder="1" applyAlignment="1">
      <alignment horizontal="center"/>
    </xf>
    <xf numFmtId="164" fontId="42" fillId="0" borderId="5" xfId="2" applyNumberFormat="1" applyFont="1" applyBorder="1" applyAlignment="1">
      <alignment horizontal="center"/>
    </xf>
    <xf numFmtId="167" fontId="42" fillId="0" borderId="0" xfId="4" applyNumberFormat="1" applyFont="1" applyBorder="1"/>
    <xf numFmtId="164" fontId="43" fillId="0" borderId="5" xfId="0" applyNumberFormat="1" applyFont="1" applyBorder="1" applyAlignment="1">
      <alignment horizontal="center"/>
    </xf>
    <xf numFmtId="169" fontId="43" fillId="0" borderId="0" xfId="2" applyNumberFormat="1" applyFont="1" applyBorder="1"/>
    <xf numFmtId="164" fontId="42" fillId="0" borderId="5" xfId="2" applyNumberFormat="1" applyFont="1" applyFill="1" applyBorder="1" applyAlignment="1">
      <alignment horizontal="center"/>
    </xf>
    <xf numFmtId="164" fontId="42" fillId="9" borderId="15" xfId="2" applyNumberFormat="1" applyFont="1" applyFill="1" applyBorder="1" applyAlignment="1">
      <alignment horizontal="right"/>
    </xf>
    <xf numFmtId="164" fontId="42" fillId="9" borderId="16" xfId="2" applyNumberFormat="1" applyFont="1" applyFill="1" applyBorder="1" applyAlignment="1">
      <alignment horizontal="center"/>
    </xf>
    <xf numFmtId="0" fontId="42" fillId="0" borderId="7" xfId="0" applyFont="1" applyBorder="1"/>
    <xf numFmtId="164" fontId="42" fillId="0" borderId="8" xfId="0" applyNumberFormat="1" applyFont="1" applyBorder="1" applyAlignment="1">
      <alignment horizontal="center"/>
    </xf>
    <xf numFmtId="0" fontId="43" fillId="0" borderId="12" xfId="0" applyFont="1" applyBorder="1"/>
    <xf numFmtId="164" fontId="42" fillId="0" borderId="13" xfId="2" applyNumberFormat="1" applyFont="1" applyBorder="1" applyAlignment="1">
      <alignment horizontal="center"/>
    </xf>
    <xf numFmtId="165" fontId="43" fillId="6" borderId="3" xfId="0" applyNumberFormat="1" applyFont="1" applyFill="1" applyBorder="1"/>
    <xf numFmtId="167" fontId="42" fillId="6" borderId="5" xfId="4" applyNumberFormat="1" applyFont="1" applyFill="1" applyBorder="1"/>
    <xf numFmtId="10" fontId="42" fillId="17" borderId="5" xfId="4" applyNumberFormat="1" applyFont="1" applyFill="1" applyBorder="1"/>
    <xf numFmtId="10" fontId="42" fillId="6" borderId="5" xfId="4" applyNumberFormat="1" applyFont="1" applyFill="1" applyBorder="1"/>
    <xf numFmtId="170" fontId="44" fillId="6" borderId="5" xfId="0" applyNumberFormat="1" applyFont="1" applyFill="1" applyBorder="1"/>
    <xf numFmtId="170" fontId="44" fillId="6" borderId="8" xfId="0" applyNumberFormat="1" applyFont="1" applyFill="1" applyBorder="1"/>
    <xf numFmtId="10" fontId="42" fillId="6" borderId="1" xfId="4" applyNumberFormat="1" applyFont="1" applyFill="1" applyBorder="1"/>
    <xf numFmtId="10" fontId="42" fillId="6" borderId="2" xfId="4" applyNumberFormat="1" applyFont="1" applyFill="1" applyBorder="1"/>
    <xf numFmtId="10" fontId="42" fillId="6" borderId="3" xfId="4" applyNumberFormat="1" applyFont="1" applyFill="1" applyBorder="1"/>
    <xf numFmtId="10" fontId="42" fillId="6" borderId="4" xfId="4" applyNumberFormat="1" applyFont="1" applyFill="1" applyBorder="1"/>
    <xf numFmtId="10" fontId="42" fillId="6" borderId="0" xfId="4" applyNumberFormat="1" applyFont="1" applyFill="1" applyBorder="1"/>
    <xf numFmtId="10" fontId="42" fillId="11" borderId="4" xfId="4" applyNumberFormat="1" applyFont="1" applyFill="1" applyBorder="1"/>
    <xf numFmtId="10" fontId="42" fillId="11" borderId="0" xfId="4" applyNumberFormat="1" applyFont="1" applyFill="1" applyBorder="1"/>
    <xf numFmtId="10" fontId="42" fillId="11" borderId="5" xfId="4" applyNumberFormat="1" applyFont="1" applyFill="1" applyBorder="1"/>
    <xf numFmtId="1" fontId="42" fillId="6" borderId="4" xfId="4" applyNumberFormat="1" applyFont="1" applyFill="1" applyBorder="1"/>
    <xf numFmtId="1" fontId="42" fillId="6" borderId="0" xfId="4" applyNumberFormat="1" applyFont="1" applyFill="1" applyBorder="1"/>
    <xf numFmtId="1" fontId="42" fillId="6" borderId="5" xfId="4" applyNumberFormat="1" applyFont="1" applyFill="1" applyBorder="1"/>
    <xf numFmtId="169" fontId="12" fillId="7" borderId="4" xfId="2" applyNumberFormat="1" applyFont="1" applyFill="1" applyBorder="1"/>
    <xf numFmtId="169" fontId="12" fillId="7" borderId="11" xfId="2" applyNumberFormat="1" applyFont="1" applyFill="1" applyBorder="1"/>
    <xf numFmtId="9" fontId="3" fillId="7" borderId="4" xfId="3" applyFont="1" applyFill="1" applyBorder="1"/>
    <xf numFmtId="169" fontId="3" fillId="7" borderId="4" xfId="2" applyNumberFormat="1" applyFont="1" applyFill="1" applyBorder="1"/>
    <xf numFmtId="169" fontId="3" fillId="7" borderId="6" xfId="2" applyNumberFormat="1" applyFont="1" applyFill="1" applyBorder="1"/>
    <xf numFmtId="169" fontId="5" fillId="7" borderId="1" xfId="2" applyNumberFormat="1" applyFont="1" applyFill="1" applyBorder="1"/>
    <xf numFmtId="9" fontId="3" fillId="7" borderId="1" xfId="3" applyFont="1" applyFill="1" applyBorder="1"/>
    <xf numFmtId="9" fontId="3" fillId="7" borderId="14" xfId="3" applyFont="1" applyFill="1" applyBorder="1"/>
    <xf numFmtId="169" fontId="5" fillId="7" borderId="4" xfId="2" applyNumberFormat="1" applyFont="1" applyFill="1" applyBorder="1"/>
    <xf numFmtId="169" fontId="5" fillId="7" borderId="11" xfId="2" applyNumberFormat="1" applyFont="1" applyFill="1" applyBorder="1"/>
    <xf numFmtId="169" fontId="3" fillId="7" borderId="1" xfId="2" applyNumberFormat="1" applyFont="1" applyFill="1" applyBorder="1"/>
    <xf numFmtId="9" fontId="13" fillId="7" borderId="1" xfId="3" applyFont="1" applyFill="1" applyBorder="1"/>
    <xf numFmtId="10" fontId="5" fillId="7" borderId="1" xfId="3" applyNumberFormat="1" applyFont="1" applyFill="1" applyBorder="1"/>
    <xf numFmtId="10" fontId="3" fillId="7" borderId="4" xfId="3" applyNumberFormat="1" applyFont="1" applyFill="1" applyBorder="1"/>
    <xf numFmtId="169" fontId="13" fillId="7" borderId="4" xfId="2" applyNumberFormat="1" applyFont="1" applyFill="1" applyBorder="1"/>
    <xf numFmtId="0" fontId="25" fillId="18" borderId="19" xfId="0" applyFont="1" applyFill="1" applyBorder="1" applyAlignment="1">
      <alignment horizontal="center" vertical="center"/>
    </xf>
    <xf numFmtId="0" fontId="25" fillId="18" borderId="21" xfId="0" applyFont="1" applyFill="1" applyBorder="1" applyAlignment="1">
      <alignment horizontal="center" vertical="center"/>
    </xf>
    <xf numFmtId="0" fontId="25" fillId="18" borderId="2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0" fontId="25" fillId="13" borderId="21" xfId="0" applyFont="1" applyFill="1" applyBorder="1" applyAlignment="1">
      <alignment horizontal="center" vertical="center"/>
    </xf>
    <xf numFmtId="0" fontId="25" fillId="13" borderId="20" xfId="0" applyFont="1" applyFill="1" applyBorder="1" applyAlignment="1">
      <alignment horizontal="center" vertical="center"/>
    </xf>
    <xf numFmtId="0" fontId="39" fillId="19" borderId="19" xfId="0" applyFont="1" applyFill="1" applyBorder="1" applyAlignment="1">
      <alignment horizontal="center" vertical="center" wrapText="1"/>
    </xf>
    <xf numFmtId="37" fontId="3" fillId="7" borderId="4" xfId="0" applyNumberFormat="1" applyFont="1" applyFill="1" applyBorder="1"/>
    <xf numFmtId="0" fontId="4" fillId="15" borderId="1" xfId="0" applyFont="1" applyFill="1" applyBorder="1" applyAlignment="1">
      <alignment horizontal="center" vertical="center"/>
    </xf>
    <xf numFmtId="0" fontId="4" fillId="15" borderId="2" xfId="0" applyFont="1" applyFill="1" applyBorder="1" applyAlignment="1">
      <alignment horizontal="center" vertical="center"/>
    </xf>
    <xf numFmtId="0" fontId="4" fillId="15" borderId="3" xfId="0" applyFont="1" applyFill="1" applyBorder="1" applyAlignment="1">
      <alignment horizontal="center" vertical="center"/>
    </xf>
    <xf numFmtId="169" fontId="16" fillId="4" borderId="0" xfId="5" applyNumberFormat="1" applyFont="1" applyFill="1" applyBorder="1"/>
    <xf numFmtId="169" fontId="3" fillId="0" borderId="1" xfId="0" applyNumberFormat="1" applyFont="1" applyBorder="1"/>
    <xf numFmtId="169" fontId="3" fillId="0" borderId="2" xfId="0" applyNumberFormat="1" applyFont="1" applyBorder="1"/>
    <xf numFmtId="169" fontId="3" fillId="0" borderId="3" xfId="0" applyNumberFormat="1" applyFont="1" applyBorder="1"/>
    <xf numFmtId="10" fontId="42" fillId="6" borderId="6" xfId="4" applyNumberFormat="1" applyFont="1" applyFill="1" applyBorder="1"/>
    <xf numFmtId="10" fontId="42" fillId="6" borderId="7" xfId="4" applyNumberFormat="1" applyFont="1" applyFill="1" applyBorder="1"/>
    <xf numFmtId="10" fontId="42" fillId="6" borderId="8" xfId="4" applyNumberFormat="1" applyFont="1" applyFill="1" applyBorder="1"/>
  </cellXfs>
  <cellStyles count="8">
    <cellStyle name="Comma" xfId="1" builtinId="3"/>
    <cellStyle name="Currency" xfId="2" builtinId="4"/>
    <cellStyle name="Currency 3" xfId="5" xr:uid="{F6ABB742-E7E7-4CBD-A049-A502B61CA702}"/>
    <cellStyle name="Normal" xfId="0" builtinId="0"/>
    <cellStyle name="Normal 2" xfId="6" xr:uid="{912EAAE4-6E95-4205-8F7F-FECCCFFC77D9}"/>
    <cellStyle name="Normal 3" xfId="7" xr:uid="{2DE1375D-2215-4891-B787-F33E45BDC84E}"/>
    <cellStyle name="Percent" xfId="3" builtinId="5"/>
    <cellStyle name="Percent 2" xfId="4" xr:uid="{F7EB0DD1-06EC-4400-A445-79E696E410A5}"/>
  </cellStyles>
  <dxfs count="3">
    <dxf>
      <font>
        <color theme="0"/>
      </font>
      <fill>
        <patternFill>
          <bgColor rgb="FFC00000"/>
        </patternFill>
      </fill>
    </dxf>
    <dxf>
      <numFmt numFmtId="179" formatCode="&quot;-&quot;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6D9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31880</xdr:colOff>
      <xdr:row>0</xdr:row>
      <xdr:rowOff>185056</xdr:rowOff>
    </xdr:from>
    <xdr:to>
      <xdr:col>10</xdr:col>
      <xdr:colOff>46732</xdr:colOff>
      <xdr:row>17</xdr:row>
      <xdr:rowOff>389193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6C8B867-2C85-0440-323F-7C2421A4D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3251" y="185056"/>
          <a:ext cx="4930981" cy="45569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31</xdr:row>
          <xdr:rowOff>9525</xdr:rowOff>
        </xdr:from>
        <xdr:to>
          <xdr:col>12</xdr:col>
          <xdr:colOff>1247775</xdr:colOff>
          <xdr:row>32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Sensitivity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1085850</xdr:colOff>
          <xdr:row>1</xdr:row>
          <xdr:rowOff>104775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Aptos Narrow"/>
                </a:rPr>
                <a:t>Refresh Rent Roll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2600325</xdr:colOff>
          <xdr:row>4</xdr:row>
          <xdr:rowOff>0</xdr:rowOff>
        </xdr:from>
        <xdr:to>
          <xdr:col>3</xdr:col>
          <xdr:colOff>1304925</xdr:colOff>
          <xdr:row>7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Set Cap 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2609850</xdr:colOff>
          <xdr:row>7</xdr:row>
          <xdr:rowOff>28575</xdr:rowOff>
        </xdr:from>
        <xdr:to>
          <xdr:col>3</xdr:col>
          <xdr:colOff>1314450</xdr:colOff>
          <xdr:row>10</xdr:row>
          <xdr:rowOff>9525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Set Levered 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2609850</xdr:colOff>
          <xdr:row>10</xdr:row>
          <xdr:rowOff>19050</xdr:rowOff>
        </xdr:from>
        <xdr:to>
          <xdr:col>3</xdr:col>
          <xdr:colOff>1314450</xdr:colOff>
          <xdr:row>12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Set Levered IRR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59FF7-DE85-4D87-A4D3-2F3D4B15B74D}">
  <sheetPr codeName="Sheet2">
    <tabColor rgb="FFFFFF00"/>
  </sheetPr>
  <dimension ref="B1:B20"/>
  <sheetViews>
    <sheetView showGridLines="0" tabSelected="1" zoomScale="93" zoomScaleNormal="70" workbookViewId="0">
      <selection activeCell="B21" sqref="B21"/>
    </sheetView>
  </sheetViews>
  <sheetFormatPr defaultRowHeight="15" x14ac:dyDescent="0.25"/>
  <cols>
    <col min="2" max="2" width="131.28515625" customWidth="1"/>
  </cols>
  <sheetData>
    <row r="1" spans="2:2" ht="15.75" thickBot="1" x14ac:dyDescent="0.3"/>
    <row r="2" spans="2:2" ht="27" customHeight="1" x14ac:dyDescent="0.25">
      <c r="B2" s="548" t="s">
        <v>203</v>
      </c>
    </row>
    <row r="3" spans="2:2" ht="15.75" x14ac:dyDescent="0.25">
      <c r="B3" s="329" t="s">
        <v>202</v>
      </c>
    </row>
    <row r="4" spans="2:2" ht="15.75" x14ac:dyDescent="0.25">
      <c r="B4" s="327" t="s">
        <v>204</v>
      </c>
    </row>
    <row r="5" spans="2:2" ht="15.75" x14ac:dyDescent="0.25">
      <c r="B5" s="329" t="s">
        <v>198</v>
      </c>
    </row>
    <row r="6" spans="2:2" ht="15.75" x14ac:dyDescent="0.25">
      <c r="B6" s="327" t="s">
        <v>199</v>
      </c>
    </row>
    <row r="7" spans="2:2" ht="15.75" x14ac:dyDescent="0.25">
      <c r="B7" s="329" t="s">
        <v>200</v>
      </c>
    </row>
    <row r="8" spans="2:2" ht="16.5" thickBot="1" x14ac:dyDescent="0.3">
      <c r="B8" s="328" t="s">
        <v>201</v>
      </c>
    </row>
    <row r="9" spans="2:2" ht="15.75" thickBot="1" x14ac:dyDescent="0.3"/>
    <row r="10" spans="2:2" ht="28.15" customHeight="1" x14ac:dyDescent="0.25">
      <c r="B10" s="548" t="s">
        <v>206</v>
      </c>
    </row>
    <row r="11" spans="2:2" ht="15.75" x14ac:dyDescent="0.25">
      <c r="B11" s="329" t="s">
        <v>207</v>
      </c>
    </row>
    <row r="12" spans="2:2" ht="15.75" x14ac:dyDescent="0.25">
      <c r="B12" s="327" t="s">
        <v>212</v>
      </c>
    </row>
    <row r="13" spans="2:2" ht="15.75" x14ac:dyDescent="0.25">
      <c r="B13" s="329" t="s">
        <v>208</v>
      </c>
    </row>
    <row r="14" spans="2:2" ht="47.25" x14ac:dyDescent="0.25">
      <c r="B14" s="327" t="s">
        <v>213</v>
      </c>
    </row>
    <row r="15" spans="2:2" ht="15.75" x14ac:dyDescent="0.25">
      <c r="B15" s="329" t="s">
        <v>209</v>
      </c>
    </row>
    <row r="16" spans="2:2" ht="31.5" x14ac:dyDescent="0.25">
      <c r="B16" s="327" t="s">
        <v>216</v>
      </c>
    </row>
    <row r="17" spans="2:2" ht="15.75" x14ac:dyDescent="0.25">
      <c r="B17" s="329" t="s">
        <v>210</v>
      </c>
    </row>
    <row r="18" spans="2:2" ht="32.25" thickBot="1" x14ac:dyDescent="0.3">
      <c r="B18" s="328" t="s">
        <v>211</v>
      </c>
    </row>
    <row r="20" spans="2:2" ht="15.75" x14ac:dyDescent="0.25">
      <c r="B20" s="332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BD0B1-F54D-44BE-8372-C079E3B252F4}">
  <sheetPr codeName="Sheet1"/>
  <dimension ref="C2:T63"/>
  <sheetViews>
    <sheetView showGridLines="0" topLeftCell="L1" zoomScaleNormal="100" workbookViewId="0">
      <selection activeCell="P18" sqref="P18"/>
    </sheetView>
  </sheetViews>
  <sheetFormatPr defaultRowHeight="15" x14ac:dyDescent="0.25"/>
  <cols>
    <col min="1" max="2" width="0" hidden="1" customWidth="1"/>
    <col min="3" max="3" width="25.28515625" hidden="1" customWidth="1"/>
    <col min="4" max="4" width="6.7109375" hidden="1" customWidth="1"/>
    <col min="5" max="5" width="9.5703125" hidden="1" customWidth="1"/>
    <col min="6" max="11" width="0" hidden="1" customWidth="1"/>
    <col min="12" max="12" width="2.7109375" customWidth="1"/>
    <col min="13" max="13" width="20.140625" bestFit="1" customWidth="1"/>
    <col min="14" max="14" width="17.140625" customWidth="1"/>
    <col min="15" max="15" width="17.7109375" bestFit="1" customWidth="1"/>
    <col min="16" max="16" width="18.7109375" bestFit="1" customWidth="1"/>
    <col min="17" max="17" width="25.28515625" bestFit="1" customWidth="1"/>
    <col min="18" max="18" width="15.7109375" bestFit="1" customWidth="1"/>
    <col min="19" max="19" width="23.7109375" bestFit="1" customWidth="1"/>
    <col min="20" max="20" width="9" style="79" customWidth="1"/>
    <col min="22" max="22" width="19.28515625" bestFit="1" customWidth="1"/>
  </cols>
  <sheetData>
    <row r="2" spans="3:20" ht="15.75" thickBot="1" x14ac:dyDescent="0.3"/>
    <row r="3" spans="3:20" ht="19.5" thickBot="1" x14ac:dyDescent="0.35">
      <c r="C3" s="117"/>
      <c r="D3" s="117"/>
      <c r="E3" s="117"/>
      <c r="F3" s="117"/>
      <c r="G3" s="117"/>
      <c r="H3" s="117"/>
      <c r="I3" s="117"/>
      <c r="J3" s="117"/>
      <c r="K3" s="117"/>
      <c r="M3" s="339" t="s">
        <v>81</v>
      </c>
      <c r="N3" s="340"/>
      <c r="O3" s="341"/>
      <c r="Q3" s="416" t="s">
        <v>124</v>
      </c>
      <c r="R3" s="417"/>
      <c r="S3" s="418"/>
      <c r="T3" s="114"/>
    </row>
    <row r="4" spans="3:20" ht="19.5" thickBot="1" x14ac:dyDescent="0.35">
      <c r="C4" s="117"/>
      <c r="D4" s="117"/>
      <c r="E4" s="117"/>
      <c r="F4" s="117"/>
      <c r="G4" s="117"/>
      <c r="H4" s="117"/>
      <c r="I4" s="117"/>
      <c r="J4" s="117"/>
      <c r="K4" s="117"/>
      <c r="M4" s="11" t="s">
        <v>173</v>
      </c>
      <c r="N4" s="342"/>
      <c r="O4" s="343"/>
      <c r="Q4" s="419"/>
      <c r="R4" s="420"/>
      <c r="S4" s="421"/>
      <c r="T4" s="113"/>
    </row>
    <row r="5" spans="3:20" ht="19.5" thickBot="1" x14ac:dyDescent="0.35">
      <c r="C5" s="117"/>
      <c r="D5" s="117"/>
      <c r="E5" s="117"/>
      <c r="F5" s="117"/>
      <c r="G5" s="117"/>
      <c r="H5" s="117"/>
      <c r="I5" s="117"/>
      <c r="J5" s="117"/>
      <c r="K5" s="117"/>
      <c r="M5" s="85" t="s">
        <v>82</v>
      </c>
      <c r="N5" s="344"/>
      <c r="O5" s="345"/>
      <c r="Q5" s="150"/>
      <c r="R5" s="150"/>
      <c r="S5" s="150"/>
    </row>
    <row r="6" spans="3:20" ht="19.5" thickBot="1" x14ac:dyDescent="0.35">
      <c r="C6" s="117"/>
      <c r="D6" s="117"/>
      <c r="E6" s="117"/>
      <c r="F6" s="117"/>
      <c r="G6" s="117"/>
      <c r="H6" s="117"/>
      <c r="I6" s="117"/>
      <c r="J6" s="117"/>
      <c r="K6" s="117"/>
      <c r="M6" s="233" t="s">
        <v>191</v>
      </c>
      <c r="N6" s="344"/>
      <c r="O6" s="345"/>
      <c r="Q6" s="389" t="s">
        <v>125</v>
      </c>
      <c r="R6" s="390"/>
      <c r="S6" s="391"/>
      <c r="T6" s="114"/>
    </row>
    <row r="7" spans="3:20" ht="19.5" thickBot="1" x14ac:dyDescent="0.35">
      <c r="C7" s="117"/>
      <c r="D7" s="117"/>
      <c r="E7" s="117"/>
      <c r="F7" s="117"/>
      <c r="G7" s="117"/>
      <c r="H7" s="117"/>
      <c r="I7" s="117"/>
      <c r="J7" s="117"/>
      <c r="K7" s="117"/>
      <c r="M7" s="85" t="s">
        <v>83</v>
      </c>
      <c r="N7" s="346"/>
      <c r="O7" s="347"/>
      <c r="Q7" s="386"/>
      <c r="R7" s="387">
        <f>ROUND(Proforma!J9,-4)</f>
        <v>0</v>
      </c>
      <c r="S7" s="388"/>
      <c r="T7" s="113"/>
    </row>
    <row r="8" spans="3:20" ht="16.5" thickBot="1" x14ac:dyDescent="0.3">
      <c r="C8" s="117"/>
      <c r="D8" s="117"/>
      <c r="E8" s="117"/>
      <c r="F8" s="117"/>
      <c r="G8" s="117"/>
      <c r="H8" s="117"/>
      <c r="I8" s="117"/>
      <c r="J8" s="117"/>
      <c r="K8" s="117"/>
      <c r="M8" s="86" t="s">
        <v>84</v>
      </c>
      <c r="N8" s="333"/>
      <c r="O8" s="87">
        <f>RR!O15</f>
        <v>0</v>
      </c>
    </row>
    <row r="9" spans="3:20" ht="15.75" x14ac:dyDescent="0.25">
      <c r="C9" s="117"/>
      <c r="D9" s="117"/>
      <c r="E9" s="117"/>
      <c r="F9" s="117"/>
      <c r="G9" s="117"/>
      <c r="H9" s="117"/>
      <c r="I9" s="117"/>
      <c r="J9" s="117"/>
      <c r="K9" s="117"/>
      <c r="M9" s="86" t="s">
        <v>178</v>
      </c>
      <c r="N9" s="334"/>
      <c r="O9" s="231">
        <f>RR!Q37</f>
        <v>0</v>
      </c>
      <c r="Q9" s="325" t="s">
        <v>1</v>
      </c>
      <c r="R9" s="2"/>
      <c r="S9" s="326"/>
    </row>
    <row r="10" spans="3:20" ht="15.75" x14ac:dyDescent="0.25">
      <c r="C10" s="117"/>
      <c r="D10" s="117"/>
      <c r="E10" s="117"/>
      <c r="F10" s="117"/>
      <c r="G10" s="117"/>
      <c r="H10" s="117"/>
      <c r="I10" s="117"/>
      <c r="J10" s="117"/>
      <c r="K10" s="117"/>
      <c r="M10" s="14" t="s">
        <v>89</v>
      </c>
      <c r="N10" s="346"/>
      <c r="O10" s="347"/>
      <c r="Q10" s="7" t="s">
        <v>5</v>
      </c>
      <c r="R10" s="5" t="s">
        <v>7</v>
      </c>
      <c r="S10" s="6" t="s">
        <v>8</v>
      </c>
    </row>
    <row r="11" spans="3:20" ht="15.75" x14ac:dyDescent="0.25">
      <c r="C11" s="117"/>
      <c r="D11" s="117"/>
      <c r="E11" s="117"/>
      <c r="F11" s="117"/>
      <c r="G11" s="117"/>
      <c r="H11" s="117"/>
      <c r="I11" s="117"/>
      <c r="J11" s="117"/>
      <c r="K11" s="117"/>
      <c r="M11" s="14" t="s">
        <v>116</v>
      </c>
      <c r="N11" s="333"/>
      <c r="O11" s="466">
        <f>SUM(RR!G8:G209)</f>
        <v>0</v>
      </c>
      <c r="Q11" s="85" t="s">
        <v>12</v>
      </c>
      <c r="R11" s="375">
        <f>Proforma!G8</f>
        <v>0</v>
      </c>
      <c r="S11" s="376">
        <f>Proforma!H8</f>
        <v>0</v>
      </c>
    </row>
    <row r="12" spans="3:20" ht="16.5" thickBot="1" x14ac:dyDescent="0.3">
      <c r="C12" s="117"/>
      <c r="D12" s="117"/>
      <c r="E12" s="117"/>
      <c r="F12" s="117"/>
      <c r="G12" s="117"/>
      <c r="H12" s="117"/>
      <c r="I12" s="117"/>
      <c r="J12" s="117"/>
      <c r="K12" s="117"/>
      <c r="M12" s="88" t="s">
        <v>117</v>
      </c>
      <c r="N12" s="464"/>
      <c r="O12" s="465"/>
      <c r="Q12" s="85"/>
      <c r="R12" s="375"/>
      <c r="S12" s="376"/>
    </row>
    <row r="13" spans="3:20" ht="15.75" x14ac:dyDescent="0.25">
      <c r="C13" s="117"/>
      <c r="D13" s="117"/>
      <c r="E13" s="117"/>
      <c r="F13" s="117"/>
      <c r="G13" s="117"/>
      <c r="H13" s="117"/>
      <c r="I13" s="117"/>
      <c r="J13" s="117"/>
      <c r="K13" s="117"/>
      <c r="Q13" s="85" t="s">
        <v>15</v>
      </c>
      <c r="R13" s="375">
        <f>Proforma!G10</f>
        <v>0</v>
      </c>
      <c r="S13" s="376">
        <f>Proforma!H10</f>
        <v>0</v>
      </c>
    </row>
    <row r="14" spans="3:20" ht="16.5" thickBot="1" x14ac:dyDescent="0.3">
      <c r="C14" s="117"/>
      <c r="D14" s="117"/>
      <c r="E14" s="117"/>
      <c r="F14" s="117"/>
      <c r="G14" s="117"/>
      <c r="H14" s="117"/>
      <c r="I14" s="117"/>
      <c r="J14" s="117"/>
      <c r="K14" s="117"/>
      <c r="Q14" s="85"/>
      <c r="R14" s="375"/>
      <c r="S14" s="376"/>
    </row>
    <row r="15" spans="3:20" ht="16.5" thickBot="1" x14ac:dyDescent="0.3">
      <c r="C15" s="117"/>
      <c r="D15" s="117"/>
      <c r="E15" s="117"/>
      <c r="F15" s="117"/>
      <c r="G15" s="117"/>
      <c r="H15" s="117"/>
      <c r="I15" s="117"/>
      <c r="J15" s="117"/>
      <c r="K15" s="117"/>
      <c r="M15" s="339" t="s">
        <v>2</v>
      </c>
      <c r="N15" s="340"/>
      <c r="O15" s="341"/>
      <c r="Q15" s="85" t="s">
        <v>19</v>
      </c>
      <c r="R15" s="375">
        <f>Proforma!G12</f>
        <v>0</v>
      </c>
      <c r="S15" s="376">
        <f>Proforma!H12</f>
        <v>0</v>
      </c>
    </row>
    <row r="16" spans="3:20" ht="16.5" thickBot="1" x14ac:dyDescent="0.3">
      <c r="C16" s="117"/>
      <c r="D16" s="117"/>
      <c r="E16" s="117"/>
      <c r="F16" s="117"/>
      <c r="G16" s="117"/>
      <c r="H16" s="117"/>
      <c r="I16" s="117"/>
      <c r="J16" s="117"/>
      <c r="K16" s="117"/>
      <c r="M16" s="8" t="s">
        <v>9</v>
      </c>
      <c r="N16" s="105"/>
      <c r="O16" s="9" t="s">
        <v>10</v>
      </c>
      <c r="Q16" s="22"/>
      <c r="R16" s="2"/>
      <c r="S16" s="3"/>
    </row>
    <row r="17" spans="3:20" ht="15.75" x14ac:dyDescent="0.25">
      <c r="C17" s="117"/>
      <c r="D17" s="117"/>
      <c r="E17" s="117"/>
      <c r="F17" s="117"/>
      <c r="G17" s="117"/>
      <c r="H17" s="117"/>
      <c r="I17" s="117"/>
      <c r="J17" s="117"/>
      <c r="K17" s="117"/>
      <c r="M17" s="12" t="s">
        <v>6</v>
      </c>
      <c r="O17" s="13">
        <f>Proforma!O5</f>
        <v>0</v>
      </c>
      <c r="Q17" s="377" t="s">
        <v>25</v>
      </c>
      <c r="R17" s="378"/>
      <c r="S17" s="379">
        <f>Proforma!H14</f>
        <v>-40000</v>
      </c>
    </row>
    <row r="18" spans="3:20" ht="15.75" x14ac:dyDescent="0.25">
      <c r="C18" s="117"/>
      <c r="D18" s="117"/>
      <c r="E18" s="117"/>
      <c r="F18" s="117"/>
      <c r="G18" s="117"/>
      <c r="H18" s="117"/>
      <c r="I18" s="117"/>
      <c r="J18" s="117"/>
      <c r="K18" s="117"/>
      <c r="M18" s="12" t="s">
        <v>3</v>
      </c>
      <c r="O18" s="13">
        <f>Proforma!J10</f>
        <v>40000</v>
      </c>
      <c r="Q18" s="380" t="s">
        <v>29</v>
      </c>
      <c r="R18" s="381"/>
      <c r="S18" s="382">
        <f>Proforma!H15</f>
        <v>0</v>
      </c>
    </row>
    <row r="19" spans="3:20" ht="15.75" x14ac:dyDescent="0.25">
      <c r="C19" s="117"/>
      <c r="D19" s="117"/>
      <c r="E19" s="117"/>
      <c r="F19" s="117"/>
      <c r="G19" s="117"/>
      <c r="H19" s="117"/>
      <c r="I19" s="117"/>
      <c r="J19" s="117"/>
      <c r="K19" s="117"/>
      <c r="M19" s="12" t="s">
        <v>16</v>
      </c>
      <c r="O19" s="13">
        <f>Proforma!J11</f>
        <v>0</v>
      </c>
      <c r="Q19" s="85" t="s">
        <v>31</v>
      </c>
      <c r="R19" s="375"/>
      <c r="S19" s="376">
        <f ca="1">Proforma!H16</f>
        <v>0</v>
      </c>
    </row>
    <row r="20" spans="3:20" ht="16.5" thickBot="1" x14ac:dyDescent="0.3">
      <c r="C20" s="117"/>
      <c r="D20" s="117"/>
      <c r="E20" s="117"/>
      <c r="F20" s="117"/>
      <c r="G20" s="117"/>
      <c r="H20" s="117"/>
      <c r="I20" s="117"/>
      <c r="J20" s="117"/>
      <c r="K20" s="117"/>
      <c r="M20" s="10"/>
      <c r="O20" s="15"/>
      <c r="Q20" s="85"/>
      <c r="R20" s="375"/>
      <c r="S20" s="376"/>
    </row>
    <row r="21" spans="3:20" ht="16.5" thickBot="1" x14ac:dyDescent="0.3">
      <c r="C21" s="117"/>
      <c r="D21" s="117"/>
      <c r="E21" s="117"/>
      <c r="F21" s="117"/>
      <c r="G21" s="117"/>
      <c r="H21" s="117"/>
      <c r="I21" s="117"/>
      <c r="J21" s="117"/>
      <c r="K21" s="117"/>
      <c r="M21" s="108" t="s">
        <v>20</v>
      </c>
      <c r="N21" s="82"/>
      <c r="O21" s="26">
        <f>SUM(O17:O20)</f>
        <v>40000</v>
      </c>
      <c r="Q21" s="85" t="s">
        <v>35</v>
      </c>
      <c r="R21" s="375"/>
      <c r="S21" s="383">
        <f>Proforma!H18</f>
        <v>-40000</v>
      </c>
    </row>
    <row r="22" spans="3:20" ht="16.5" thickBot="1" x14ac:dyDescent="0.3">
      <c r="C22" s="117"/>
      <c r="D22" s="117"/>
      <c r="E22" s="117"/>
      <c r="F22" s="117"/>
      <c r="G22" s="117"/>
      <c r="H22" s="117"/>
      <c r="I22" s="117"/>
      <c r="J22" s="117"/>
      <c r="K22" s="117"/>
      <c r="M22" s="109" t="s">
        <v>22</v>
      </c>
      <c r="N22" s="82"/>
      <c r="O22" s="110">
        <f>Proforma!J14</f>
        <v>0</v>
      </c>
      <c r="Q22" s="380" t="s">
        <v>37</v>
      </c>
      <c r="R22" s="381"/>
      <c r="S22" s="382">
        <f>Proforma!H19</f>
        <v>0</v>
      </c>
    </row>
    <row r="23" spans="3:20" ht="16.5" thickBot="1" x14ac:dyDescent="0.3">
      <c r="M23" s="108" t="s">
        <v>26</v>
      </c>
      <c r="N23" s="82"/>
      <c r="O23" s="26">
        <f>O21+O22</f>
        <v>40000</v>
      </c>
      <c r="Q23" s="88" t="s">
        <v>39</v>
      </c>
      <c r="R23" s="384"/>
      <c r="S23" s="385">
        <f ca="1">Proforma!H20</f>
        <v>0</v>
      </c>
    </row>
    <row r="24" spans="3:20" ht="16.5" thickBot="1" x14ac:dyDescent="0.3">
      <c r="C24" s="117"/>
      <c r="D24" s="117"/>
      <c r="E24" s="117"/>
      <c r="F24" s="117"/>
      <c r="G24" s="117"/>
      <c r="H24" s="117"/>
      <c r="I24" s="117"/>
      <c r="J24" s="117"/>
      <c r="K24" s="117"/>
      <c r="M24" s="10"/>
      <c r="O24" s="37"/>
    </row>
    <row r="25" spans="3:20" ht="15.75" x14ac:dyDescent="0.25">
      <c r="C25" s="117"/>
      <c r="D25" s="117"/>
      <c r="E25" s="117"/>
      <c r="F25" s="117"/>
      <c r="G25" s="117"/>
      <c r="H25" s="117"/>
      <c r="I25" s="117"/>
      <c r="J25" s="117"/>
      <c r="K25" s="117"/>
      <c r="M25" s="106" t="s">
        <v>32</v>
      </c>
      <c r="N25" s="111"/>
      <c r="O25" s="107" t="s">
        <v>10</v>
      </c>
      <c r="Q25" s="336" t="s">
        <v>0</v>
      </c>
      <c r="R25" s="337"/>
      <c r="S25" s="338"/>
    </row>
    <row r="26" spans="3:20" ht="15.75" x14ac:dyDescent="0.25">
      <c r="C26" s="117"/>
      <c r="D26" s="117"/>
      <c r="E26" s="117"/>
      <c r="F26" s="117"/>
      <c r="G26" s="117"/>
      <c r="H26" s="117"/>
      <c r="I26" s="117"/>
      <c r="J26" s="117"/>
      <c r="K26" s="117"/>
      <c r="M26" s="30">
        <f>O26/O23</f>
        <v>0</v>
      </c>
      <c r="O26" s="13">
        <f>Proforma!J18</f>
        <v>0</v>
      </c>
      <c r="Q26" s="4" t="s">
        <v>5</v>
      </c>
      <c r="R26" s="5" t="s">
        <v>6</v>
      </c>
      <c r="S26" s="6" t="s">
        <v>119</v>
      </c>
    </row>
    <row r="27" spans="3:20" ht="16.5" thickBot="1" x14ac:dyDescent="0.3">
      <c r="C27" s="117"/>
      <c r="D27" s="117"/>
      <c r="E27" s="117"/>
      <c r="F27" s="117"/>
      <c r="G27" s="117"/>
      <c r="H27" s="117"/>
      <c r="I27" s="117"/>
      <c r="J27" s="117"/>
      <c r="K27" s="117"/>
      <c r="M27" s="33">
        <f>O27/O23</f>
        <v>1</v>
      </c>
      <c r="O27" s="13">
        <f>O23-O26</f>
        <v>40000</v>
      </c>
      <c r="Q27" s="85" t="s">
        <v>77</v>
      </c>
      <c r="R27" s="392">
        <f>Proforma!D17</f>
        <v>0</v>
      </c>
      <c r="S27" s="383">
        <f>IFERROR(O28/O12, 0)</f>
        <v>0</v>
      </c>
    </row>
    <row r="28" spans="3:20" ht="16.5" thickBot="1" x14ac:dyDescent="0.3">
      <c r="C28" s="117"/>
      <c r="D28" s="117"/>
      <c r="E28" s="117"/>
      <c r="F28" s="117"/>
      <c r="G28" s="117"/>
      <c r="H28" s="117"/>
      <c r="I28" s="117"/>
      <c r="J28" s="117"/>
      <c r="K28" s="117"/>
      <c r="M28" s="24" t="s">
        <v>38</v>
      </c>
      <c r="N28" s="82"/>
      <c r="O28" s="26">
        <f>SUM(O26:O27)</f>
        <v>40000</v>
      </c>
      <c r="Q28" s="85"/>
      <c r="R28" s="242"/>
      <c r="S28" s="373"/>
    </row>
    <row r="29" spans="3:20" ht="15.75" x14ac:dyDescent="0.25">
      <c r="C29" s="117"/>
      <c r="D29" s="117"/>
      <c r="E29" s="117"/>
      <c r="F29" s="117"/>
      <c r="G29" s="117"/>
      <c r="H29" s="117"/>
      <c r="I29" s="117"/>
      <c r="J29" s="117"/>
      <c r="K29" s="117"/>
      <c r="Q29" s="85" t="s">
        <v>14</v>
      </c>
      <c r="R29" s="393">
        <f>IFERROR(R7/O8, 0)</f>
        <v>0</v>
      </c>
      <c r="S29" s="372">
        <f>IFERROR(O28/O8, 0)</f>
        <v>0</v>
      </c>
      <c r="T29" s="331">
        <v>0</v>
      </c>
    </row>
    <row r="30" spans="3:20" ht="16.5" thickBot="1" x14ac:dyDescent="0.3">
      <c r="C30" s="117"/>
      <c r="D30" s="117"/>
      <c r="E30" s="117"/>
      <c r="F30" s="117"/>
      <c r="G30" s="117"/>
      <c r="H30" s="117"/>
      <c r="I30" s="117"/>
      <c r="J30" s="117"/>
      <c r="K30" s="117"/>
      <c r="Q30" s="88"/>
      <c r="R30" s="394"/>
      <c r="S30" s="374"/>
    </row>
    <row r="31" spans="3:20" ht="15.75" thickBot="1" x14ac:dyDescent="0.3">
      <c r="C31" s="117"/>
      <c r="D31" s="117"/>
      <c r="E31" s="117"/>
      <c r="F31" s="117"/>
      <c r="G31" s="117"/>
      <c r="H31" s="117"/>
      <c r="I31" s="117"/>
      <c r="J31" s="117"/>
      <c r="K31" s="117"/>
    </row>
    <row r="32" spans="3:20" ht="15.75" x14ac:dyDescent="0.25">
      <c r="C32" s="117"/>
      <c r="D32" s="117"/>
      <c r="E32" s="117"/>
      <c r="F32" s="117"/>
      <c r="G32" s="117"/>
      <c r="H32" s="117"/>
      <c r="I32" s="117"/>
      <c r="J32" s="117"/>
      <c r="K32" s="117"/>
      <c r="M32" s="550" t="s">
        <v>149</v>
      </c>
      <c r="N32" s="551"/>
      <c r="O32" s="551"/>
      <c r="P32" s="551"/>
      <c r="Q32" s="551"/>
      <c r="R32" s="551"/>
      <c r="S32" s="552"/>
      <c r="T32" s="117"/>
    </row>
    <row r="33" spans="3:20" ht="15.75" thickBot="1" x14ac:dyDescent="0.3">
      <c r="C33" s="117"/>
      <c r="D33" s="117"/>
      <c r="E33" s="117"/>
      <c r="F33" s="117"/>
      <c r="G33" s="117"/>
      <c r="H33" s="117"/>
      <c r="I33" s="117"/>
      <c r="J33" s="117"/>
      <c r="K33" s="117"/>
      <c r="M33" s="395"/>
      <c r="N33" s="396">
        <v>-0.1</v>
      </c>
      <c r="O33" s="396">
        <v>-0.05</v>
      </c>
      <c r="P33" s="397" t="s">
        <v>125</v>
      </c>
      <c r="Q33" s="396">
        <v>0.05</v>
      </c>
      <c r="R33" s="396">
        <v>0.1</v>
      </c>
      <c r="S33" s="398">
        <v>0.15</v>
      </c>
    </row>
    <row r="34" spans="3:20" ht="15.75" x14ac:dyDescent="0.25">
      <c r="C34" s="117"/>
      <c r="D34" s="117"/>
      <c r="E34" s="117"/>
      <c r="F34" s="117"/>
      <c r="G34" s="117"/>
      <c r="H34" s="117"/>
      <c r="I34" s="117"/>
      <c r="J34" s="117"/>
      <c r="K34" s="117"/>
      <c r="M34" s="175" t="s">
        <v>6</v>
      </c>
      <c r="N34" s="181">
        <f>(100%+(N33))*$P$34</f>
        <v>0</v>
      </c>
      <c r="O34" s="181">
        <f>(100%+(O33))*$P$34</f>
        <v>0</v>
      </c>
      <c r="P34" s="182">
        <v>0</v>
      </c>
      <c r="Q34" s="181">
        <f>(100%+(Q33))*$P$34</f>
        <v>0</v>
      </c>
      <c r="R34" s="181">
        <f>(100%+(R33))*$P$34</f>
        <v>0</v>
      </c>
      <c r="S34" s="183">
        <f>(100%+(S33))*$P$34</f>
        <v>0</v>
      </c>
    </row>
    <row r="35" spans="3:20" x14ac:dyDescent="0.25">
      <c r="C35" s="117"/>
      <c r="D35" s="117"/>
      <c r="E35" s="117"/>
      <c r="F35" s="117"/>
      <c r="G35" s="117"/>
      <c r="H35" s="117"/>
      <c r="I35" s="117"/>
      <c r="J35" s="117"/>
      <c r="K35" s="117"/>
      <c r="M35" s="176">
        <f>R11</f>
        <v>0</v>
      </c>
      <c r="N35" s="177">
        <f t="dataTable" ref="N35:S37" dt2D="0" dtr="1" r1="O17" ca="1"/>
        <v>0</v>
      </c>
      <c r="O35" s="178">
        <v>0</v>
      </c>
      <c r="P35" s="179">
        <v>0</v>
      </c>
      <c r="Q35" s="178">
        <v>0</v>
      </c>
      <c r="R35" s="178">
        <v>0</v>
      </c>
      <c r="S35" s="180">
        <v>0</v>
      </c>
    </row>
    <row r="36" spans="3:20" x14ac:dyDescent="0.25">
      <c r="C36" s="117"/>
      <c r="D36" s="117"/>
      <c r="E36" s="117"/>
      <c r="F36" s="117"/>
      <c r="G36" s="117"/>
      <c r="H36" s="117"/>
      <c r="I36" s="117"/>
      <c r="J36" s="117"/>
      <c r="K36" s="117"/>
      <c r="M36" s="184">
        <f>S22</f>
        <v>0</v>
      </c>
      <c r="N36" s="186">
        <v>0</v>
      </c>
      <c r="O36" s="186">
        <v>0</v>
      </c>
      <c r="P36" s="186">
        <v>0</v>
      </c>
      <c r="Q36" s="186">
        <v>0</v>
      </c>
      <c r="R36" s="186">
        <v>0</v>
      </c>
      <c r="S36" s="187">
        <v>0</v>
      </c>
    </row>
    <row r="37" spans="3:20" ht="15.75" thickBot="1" x14ac:dyDescent="0.3">
      <c r="C37" s="117"/>
      <c r="D37" s="117"/>
      <c r="E37" s="117"/>
      <c r="F37" s="117"/>
      <c r="G37" s="117"/>
      <c r="H37" s="117"/>
      <c r="I37" s="117"/>
      <c r="J37" s="117"/>
      <c r="K37" s="117"/>
      <c r="M37" s="185">
        <f ca="1">S23</f>
        <v>0</v>
      </c>
      <c r="N37" s="188">
        <v>0</v>
      </c>
      <c r="O37" s="188">
        <v>0</v>
      </c>
      <c r="P37" s="188">
        <v>0</v>
      </c>
      <c r="Q37" s="188">
        <v>0</v>
      </c>
      <c r="R37" s="188">
        <v>0</v>
      </c>
      <c r="S37" s="189">
        <v>0</v>
      </c>
    </row>
    <row r="38" spans="3:20" x14ac:dyDescent="0.25">
      <c r="C38" s="117"/>
      <c r="D38" s="117"/>
      <c r="E38" s="117"/>
      <c r="F38" s="117"/>
      <c r="G38" s="117"/>
      <c r="H38" s="117"/>
      <c r="I38" s="117"/>
      <c r="J38" s="117"/>
      <c r="K38" s="117"/>
    </row>
    <row r="39" spans="3:20" x14ac:dyDescent="0.25">
      <c r="C39" s="117"/>
      <c r="D39" s="117"/>
      <c r="E39" s="117"/>
      <c r="F39" s="117"/>
      <c r="G39" s="117"/>
      <c r="H39" s="117"/>
      <c r="I39" s="117"/>
      <c r="J39" s="117"/>
      <c r="K39" s="117"/>
      <c r="Q39" s="117"/>
      <c r="R39" s="117"/>
      <c r="S39" s="117"/>
    </row>
    <row r="40" spans="3:20" x14ac:dyDescent="0.25">
      <c r="C40" s="117"/>
      <c r="D40" s="117"/>
      <c r="E40" s="117"/>
      <c r="F40" s="117"/>
      <c r="G40" s="117"/>
      <c r="H40" s="117"/>
      <c r="I40" s="117"/>
      <c r="J40" s="117"/>
      <c r="K40" s="117"/>
      <c r="Q40" s="117"/>
      <c r="R40" s="117"/>
      <c r="S40" s="117"/>
    </row>
    <row r="41" spans="3:20" x14ac:dyDescent="0.25">
      <c r="C41" s="117"/>
      <c r="D41" s="117"/>
      <c r="E41" s="117"/>
      <c r="F41" s="117"/>
      <c r="G41" s="117"/>
      <c r="H41" s="117"/>
      <c r="I41" s="117"/>
      <c r="J41" s="117"/>
      <c r="K41" s="117"/>
      <c r="Q41" s="117"/>
      <c r="R41" s="117"/>
      <c r="S41" s="117"/>
    </row>
    <row r="47" spans="3:20" x14ac:dyDescent="0.25">
      <c r="T47"/>
    </row>
    <row r="48" spans="3:20" x14ac:dyDescent="0.25">
      <c r="T48"/>
    </row>
    <row r="49" spans="20:20" x14ac:dyDescent="0.25">
      <c r="T49"/>
    </row>
    <row r="50" spans="20:20" x14ac:dyDescent="0.25">
      <c r="T50"/>
    </row>
    <row r="51" spans="20:20" x14ac:dyDescent="0.25">
      <c r="T51"/>
    </row>
    <row r="52" spans="20:20" x14ac:dyDescent="0.25">
      <c r="T52"/>
    </row>
    <row r="53" spans="20:20" x14ac:dyDescent="0.25">
      <c r="T53"/>
    </row>
    <row r="54" spans="20:20" x14ac:dyDescent="0.25">
      <c r="T54"/>
    </row>
    <row r="55" spans="20:20" x14ac:dyDescent="0.25">
      <c r="T55"/>
    </row>
    <row r="56" spans="20:20" x14ac:dyDescent="0.25">
      <c r="T56"/>
    </row>
    <row r="57" spans="20:20" x14ac:dyDescent="0.25">
      <c r="T57"/>
    </row>
    <row r="58" spans="20:20" x14ac:dyDescent="0.25">
      <c r="T58"/>
    </row>
    <row r="59" spans="20:20" x14ac:dyDescent="0.25">
      <c r="T59"/>
    </row>
    <row r="60" spans="20:20" x14ac:dyDescent="0.25">
      <c r="T60"/>
    </row>
    <row r="61" spans="20:20" x14ac:dyDescent="0.25">
      <c r="T61"/>
    </row>
    <row r="62" spans="20:20" x14ac:dyDescent="0.25">
      <c r="T62"/>
    </row>
    <row r="63" spans="20:20" x14ac:dyDescent="0.25">
      <c r="T63"/>
    </row>
  </sheetData>
  <mergeCells count="13">
    <mergeCell ref="M32:S32"/>
    <mergeCell ref="M3:O3"/>
    <mergeCell ref="N12:O12"/>
    <mergeCell ref="N4:O4"/>
    <mergeCell ref="N5:O5"/>
    <mergeCell ref="N6:O6"/>
    <mergeCell ref="N7:O7"/>
    <mergeCell ref="N10:O10"/>
    <mergeCell ref="M15:O15"/>
    <mergeCell ref="Q3:S3"/>
    <mergeCell ref="Q6:S6"/>
    <mergeCell ref="Q4:S4"/>
    <mergeCell ref="Q25:S2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UpdateSensitivity">
                <anchor moveWithCells="1" sizeWithCells="1">
                  <from>
                    <xdr:col>12</xdr:col>
                    <xdr:colOff>38100</xdr:colOff>
                    <xdr:row>31</xdr:row>
                    <xdr:rowOff>9525</xdr:rowOff>
                  </from>
                  <to>
                    <xdr:col>12</xdr:col>
                    <xdr:colOff>1247775</xdr:colOff>
                    <xdr:row>32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550DF-72C7-4AC2-A172-D0290F40D989}">
  <sheetPr codeName="Sheet4">
    <pageSetUpPr fitToPage="1"/>
  </sheetPr>
  <dimension ref="C5:X502"/>
  <sheetViews>
    <sheetView showGridLines="0" topLeftCell="B1" zoomScale="70" zoomScaleNormal="70" workbookViewId="0">
      <pane ySplit="7" topLeftCell="A8" activePane="bottomLeft" state="frozen"/>
      <selection activeCell="B1" sqref="B1"/>
      <selection pane="bottomLeft" activeCell="N69" sqref="N69"/>
    </sheetView>
  </sheetViews>
  <sheetFormatPr defaultRowHeight="15" x14ac:dyDescent="0.25"/>
  <cols>
    <col min="2" max="2" width="16.42578125" bestFit="1" customWidth="1"/>
    <col min="3" max="3" width="14.85546875" bestFit="1" customWidth="1"/>
    <col min="4" max="4" width="16.85546875" bestFit="1" customWidth="1"/>
    <col min="5" max="5" width="11.7109375" bestFit="1" customWidth="1"/>
    <col min="6" max="6" width="9.42578125" bestFit="1" customWidth="1"/>
    <col min="7" max="7" width="8.140625" bestFit="1" customWidth="1"/>
    <col min="8" max="8" width="12.5703125" bestFit="1" customWidth="1"/>
    <col min="9" max="9" width="20.7109375" bestFit="1" customWidth="1"/>
    <col min="10" max="10" width="16.28515625" customWidth="1"/>
    <col min="11" max="11" width="27.7109375" bestFit="1" customWidth="1"/>
    <col min="12" max="12" width="16.42578125" bestFit="1" customWidth="1"/>
    <col min="13" max="13" width="3.5703125" customWidth="1"/>
    <col min="14" max="14" width="32.85546875" customWidth="1"/>
    <col min="15" max="15" width="12.42578125" bestFit="1" customWidth="1"/>
    <col min="16" max="16" width="34.85546875" bestFit="1" customWidth="1"/>
    <col min="17" max="17" width="18.42578125" bestFit="1" customWidth="1"/>
    <col min="18" max="18" width="24.5703125" bestFit="1" customWidth="1"/>
    <col min="19" max="19" width="28.7109375" bestFit="1" customWidth="1"/>
    <col min="20" max="20" width="20.5703125" customWidth="1"/>
    <col min="21" max="21" width="25" bestFit="1" customWidth="1"/>
    <col min="22" max="22" width="23.140625" bestFit="1" customWidth="1"/>
  </cols>
  <sheetData>
    <row r="5" spans="3:23" ht="15.75" thickBot="1" x14ac:dyDescent="0.3">
      <c r="H5" s="277"/>
    </row>
    <row r="6" spans="3:23" ht="16.5" thickBot="1" x14ac:dyDescent="0.3">
      <c r="C6" s="422" t="s">
        <v>101</v>
      </c>
      <c r="D6" s="423"/>
      <c r="E6" s="423"/>
      <c r="F6" s="423"/>
      <c r="G6" s="423"/>
      <c r="H6" s="423"/>
      <c r="I6" s="423"/>
      <c r="J6" s="423"/>
      <c r="K6" s="423"/>
      <c r="L6" s="424"/>
      <c r="N6" s="422" t="s">
        <v>184</v>
      </c>
      <c r="O6" s="423"/>
      <c r="P6" s="423"/>
      <c r="Q6" s="423"/>
      <c r="R6" s="423"/>
      <c r="S6" s="423"/>
      <c r="T6" s="423"/>
      <c r="U6" s="424"/>
      <c r="V6" s="428" t="s">
        <v>109</v>
      </c>
    </row>
    <row r="7" spans="3:23" ht="15.75" thickBot="1" x14ac:dyDescent="0.3">
      <c r="C7" s="244" t="s">
        <v>78</v>
      </c>
      <c r="D7" s="245" t="s">
        <v>182</v>
      </c>
      <c r="E7" s="245" t="s">
        <v>75</v>
      </c>
      <c r="F7" s="245" t="s">
        <v>73</v>
      </c>
      <c r="G7" s="245" t="s">
        <v>102</v>
      </c>
      <c r="H7" s="246" t="s">
        <v>74</v>
      </c>
      <c r="I7" s="245" t="s">
        <v>103</v>
      </c>
      <c r="J7" s="247" t="s">
        <v>104</v>
      </c>
      <c r="K7" s="248" t="s">
        <v>214</v>
      </c>
      <c r="L7" s="248" t="s">
        <v>188</v>
      </c>
      <c r="N7" s="263" t="s">
        <v>75</v>
      </c>
      <c r="O7" s="264" t="s">
        <v>105</v>
      </c>
      <c r="P7" s="264" t="s">
        <v>186</v>
      </c>
      <c r="Q7" s="264" t="s">
        <v>110</v>
      </c>
      <c r="R7" s="264" t="s">
        <v>107</v>
      </c>
      <c r="S7" s="264" t="s">
        <v>146</v>
      </c>
      <c r="T7" s="264" t="s">
        <v>108</v>
      </c>
      <c r="U7" s="265" t="s">
        <v>147</v>
      </c>
      <c r="V7" s="429" cm="1">
        <f t="array" ref="V7">IFERROR(1-SUMPRODUCT((E8:E56&lt;&gt;"Commercial")*(F8:F56="Vacant"))/O15, 0)</f>
        <v>0</v>
      </c>
      <c r="W7" s="278"/>
    </row>
    <row r="8" spans="3:23" x14ac:dyDescent="0.25">
      <c r="C8" s="249"/>
      <c r="D8" s="250"/>
      <c r="E8" s="251"/>
      <c r="F8" s="251"/>
      <c r="G8" s="252"/>
      <c r="H8" s="253"/>
      <c r="I8" s="254"/>
      <c r="J8" s="279">
        <f>IFERROR(IF(E8="Commercial",VLOOKUP(D8,$N$40:$P$46,3,FALSE),VLOOKUP(E8,$N$18:$P$24,3,FALSE)),0)</f>
        <v>0</v>
      </c>
      <c r="K8" s="280">
        <f>J8-H8</f>
        <v>0</v>
      </c>
      <c r="L8" s="281">
        <f>IFERROR(IF(J8&gt;0,K8/H8,0),0)</f>
        <v>0</v>
      </c>
      <c r="N8" s="324" t="str" cm="1">
        <f t="array" ref="N8">IFERROR(_xlfn.UNIQUE(_xlfn._xlws.FILTER(E8:E500, (E8:E500&lt;&gt;"Commercial")*(E8:E500&lt;&gt;""))), "N/A")</f>
        <v>N/A</v>
      </c>
      <c r="O8" s="282">
        <f>COUNTIF($E$8:$E$500,N8)</f>
        <v>0</v>
      </c>
      <c r="P8" s="283">
        <f>IFERROR(SUMIFS($H$8:$H$500, $E$8:$E$500,N8, $F$8:$F$500, "Occupied")/COUNTIFS($E$8:$E$500, N8, $F$8:$F$500, "Occupied"),0)</f>
        <v>0</v>
      </c>
      <c r="Q8" s="284">
        <f>IFERROR(SUMIF($E$8:$E$500,N8,$G$8:$G$500)/O8,0)</f>
        <v>0</v>
      </c>
      <c r="R8" s="103">
        <f>P8*O8</f>
        <v>0</v>
      </c>
      <c r="S8" s="285">
        <f t="shared" ref="S8:S14" si="0">IFERROR(P8/Q8,0)</f>
        <v>0</v>
      </c>
      <c r="T8" s="286">
        <f t="shared" ref="T8:T14" si="1">R8*12</f>
        <v>0</v>
      </c>
      <c r="U8" s="287">
        <f t="shared" ref="U8:U14" si="2">IFERROR(S8*12,0)</f>
        <v>0</v>
      </c>
      <c r="V8" s="431" t="s">
        <v>192</v>
      </c>
    </row>
    <row r="9" spans="3:23" ht="15.75" thickBot="1" x14ac:dyDescent="0.3">
      <c r="C9" s="255"/>
      <c r="D9" s="256"/>
      <c r="E9" s="257"/>
      <c r="F9" s="257"/>
      <c r="G9" s="258"/>
      <c r="H9" s="243"/>
      <c r="I9" s="259"/>
      <c r="J9" s="288">
        <f t="shared" ref="J9:J56" si="3">IFERROR(IF(E9="Commercial",VLOOKUP(D9,$N$40:$P$46,3,FALSE),VLOOKUP(E9,$N$18:$P$24,3,FALSE)),0)</f>
        <v>0</v>
      </c>
      <c r="K9" s="289">
        <f t="shared" ref="K9:K44" si="4">J9-H9</f>
        <v>0</v>
      </c>
      <c r="L9" s="290">
        <f t="shared" ref="L9:L72" si="5">IFERROR(IF(J9&gt;0,K9/H9,0),0)</f>
        <v>0</v>
      </c>
      <c r="N9" s="324"/>
      <c r="O9" s="282">
        <f t="shared" ref="O9:O14" si="6">COUNTIF($E$8:$E$500,N9)</f>
        <v>0</v>
      </c>
      <c r="P9" s="283">
        <f t="shared" ref="P9:P14" si="7">IFERROR(SUMIFS($H$8:$H$500, $E$8:$E$500,N9, $F$8:$F$500, "Occupied")/COUNTIFS($E$8:$E$500, N9, $F$8:$F$500, "Occupied"),0)</f>
        <v>0</v>
      </c>
      <c r="Q9" s="284">
        <f t="shared" ref="Q9:Q14" si="8">IFERROR(SUMIF($E$8:$E$500,N9,$G$8:$G$500)/O9,0)</f>
        <v>0</v>
      </c>
      <c r="R9" s="103">
        <f t="shared" ref="R9:R14" si="9">P9*O9</f>
        <v>0</v>
      </c>
      <c r="S9" s="291">
        <f t="shared" si="0"/>
        <v>0</v>
      </c>
      <c r="T9" s="286">
        <f t="shared" si="1"/>
        <v>0</v>
      </c>
      <c r="U9" s="292">
        <f t="shared" si="2"/>
        <v>0</v>
      </c>
      <c r="V9" s="432">
        <f>AVERAGEIF(E8:E56, "&lt;&gt;Commercial", L8:L56)</f>
        <v>0</v>
      </c>
    </row>
    <row r="10" spans="3:23" x14ac:dyDescent="0.25">
      <c r="C10" s="255"/>
      <c r="D10" s="256"/>
      <c r="E10" s="257"/>
      <c r="F10" s="257"/>
      <c r="G10" s="258"/>
      <c r="H10" s="243"/>
      <c r="I10" s="260"/>
      <c r="J10" s="288">
        <f t="shared" si="3"/>
        <v>0</v>
      </c>
      <c r="K10" s="289">
        <f t="shared" si="4"/>
        <v>0</v>
      </c>
      <c r="L10" s="290">
        <f t="shared" si="5"/>
        <v>0</v>
      </c>
      <c r="N10" s="324"/>
      <c r="O10" s="282">
        <f t="shared" si="6"/>
        <v>0</v>
      </c>
      <c r="P10" s="283">
        <f t="shared" si="7"/>
        <v>0</v>
      </c>
      <c r="Q10" s="284">
        <f t="shared" si="8"/>
        <v>0</v>
      </c>
      <c r="R10" s="103">
        <f t="shared" si="9"/>
        <v>0</v>
      </c>
      <c r="S10" s="291">
        <f t="shared" si="0"/>
        <v>0</v>
      </c>
      <c r="T10" s="286">
        <f t="shared" si="1"/>
        <v>0</v>
      </c>
      <c r="U10" s="292">
        <f t="shared" si="2"/>
        <v>0</v>
      </c>
    </row>
    <row r="11" spans="3:23" x14ac:dyDescent="0.25">
      <c r="C11" s="255"/>
      <c r="D11" s="256"/>
      <c r="E11" s="257"/>
      <c r="F11" s="257"/>
      <c r="G11" s="258"/>
      <c r="H11" s="243"/>
      <c r="I11" s="259"/>
      <c r="J11" s="288">
        <f t="shared" si="3"/>
        <v>0</v>
      </c>
      <c r="K11" s="289">
        <f t="shared" si="4"/>
        <v>0</v>
      </c>
      <c r="L11" s="290">
        <f t="shared" si="5"/>
        <v>0</v>
      </c>
      <c r="N11" s="324"/>
      <c r="O11" s="282">
        <f t="shared" si="6"/>
        <v>0</v>
      </c>
      <c r="P11" s="283">
        <f t="shared" si="7"/>
        <v>0</v>
      </c>
      <c r="Q11" s="284">
        <f t="shared" si="8"/>
        <v>0</v>
      </c>
      <c r="R11" s="103">
        <f t="shared" si="9"/>
        <v>0</v>
      </c>
      <c r="S11" s="291">
        <f t="shared" si="0"/>
        <v>0</v>
      </c>
      <c r="T11" s="286">
        <f t="shared" si="1"/>
        <v>0</v>
      </c>
      <c r="U11" s="292">
        <f t="shared" si="2"/>
        <v>0</v>
      </c>
    </row>
    <row r="12" spans="3:23" x14ac:dyDescent="0.25">
      <c r="C12" s="255"/>
      <c r="D12" s="256"/>
      <c r="E12" s="257"/>
      <c r="F12" s="257"/>
      <c r="G12" s="258"/>
      <c r="H12" s="243"/>
      <c r="I12" s="259"/>
      <c r="J12" s="288">
        <f t="shared" si="3"/>
        <v>0</v>
      </c>
      <c r="K12" s="289">
        <f t="shared" si="4"/>
        <v>0</v>
      </c>
      <c r="L12" s="290">
        <f t="shared" si="5"/>
        <v>0</v>
      </c>
      <c r="N12" s="324"/>
      <c r="O12" s="282">
        <f t="shared" si="6"/>
        <v>0</v>
      </c>
      <c r="P12" s="283">
        <f t="shared" si="7"/>
        <v>0</v>
      </c>
      <c r="Q12" s="284">
        <f t="shared" si="8"/>
        <v>0</v>
      </c>
      <c r="R12" s="103">
        <f t="shared" si="9"/>
        <v>0</v>
      </c>
      <c r="S12" s="291">
        <f t="shared" si="0"/>
        <v>0</v>
      </c>
      <c r="T12" s="286">
        <f t="shared" si="1"/>
        <v>0</v>
      </c>
      <c r="U12" s="292">
        <f t="shared" si="2"/>
        <v>0</v>
      </c>
    </row>
    <row r="13" spans="3:23" x14ac:dyDescent="0.25">
      <c r="C13" s="255"/>
      <c r="D13" s="256"/>
      <c r="E13" s="257"/>
      <c r="F13" s="257"/>
      <c r="G13" s="258"/>
      <c r="H13" s="243"/>
      <c r="I13" s="259"/>
      <c r="J13" s="288">
        <f t="shared" si="3"/>
        <v>0</v>
      </c>
      <c r="K13" s="289">
        <f t="shared" si="4"/>
        <v>0</v>
      </c>
      <c r="L13" s="290">
        <f t="shared" si="5"/>
        <v>0</v>
      </c>
      <c r="N13" s="324"/>
      <c r="O13" s="282">
        <f t="shared" si="6"/>
        <v>0</v>
      </c>
      <c r="P13" s="283">
        <f t="shared" si="7"/>
        <v>0</v>
      </c>
      <c r="Q13" s="284">
        <f t="shared" si="8"/>
        <v>0</v>
      </c>
      <c r="R13" s="103">
        <f t="shared" si="9"/>
        <v>0</v>
      </c>
      <c r="S13" s="291">
        <f t="shared" si="0"/>
        <v>0</v>
      </c>
      <c r="T13" s="286">
        <f t="shared" si="1"/>
        <v>0</v>
      </c>
      <c r="U13" s="292">
        <f t="shared" si="2"/>
        <v>0</v>
      </c>
    </row>
    <row r="14" spans="3:23" ht="15.75" thickBot="1" x14ac:dyDescent="0.3">
      <c r="C14" s="255"/>
      <c r="D14" s="256"/>
      <c r="E14" s="257"/>
      <c r="F14" s="257"/>
      <c r="G14" s="258"/>
      <c r="H14" s="243"/>
      <c r="I14" s="259"/>
      <c r="J14" s="288">
        <f t="shared" si="3"/>
        <v>0</v>
      </c>
      <c r="K14" s="289">
        <f t="shared" si="4"/>
        <v>0</v>
      </c>
      <c r="L14" s="290">
        <f t="shared" si="5"/>
        <v>0</v>
      </c>
      <c r="N14" s="475"/>
      <c r="O14" s="282">
        <f t="shared" si="6"/>
        <v>0</v>
      </c>
      <c r="P14" s="283">
        <f t="shared" si="7"/>
        <v>0</v>
      </c>
      <c r="Q14" s="284">
        <f t="shared" si="8"/>
        <v>0</v>
      </c>
      <c r="R14" s="103">
        <f t="shared" si="9"/>
        <v>0</v>
      </c>
      <c r="S14" s="293">
        <f t="shared" si="0"/>
        <v>0</v>
      </c>
      <c r="T14" s="294">
        <f t="shared" si="1"/>
        <v>0</v>
      </c>
      <c r="U14" s="292">
        <f t="shared" si="2"/>
        <v>0</v>
      </c>
    </row>
    <row r="15" spans="3:23" ht="15.75" thickBot="1" x14ac:dyDescent="0.3">
      <c r="C15" s="255"/>
      <c r="D15" s="256"/>
      <c r="E15" s="257"/>
      <c r="F15" s="257"/>
      <c r="G15" s="258"/>
      <c r="H15" s="243"/>
      <c r="I15" s="259"/>
      <c r="J15" s="288">
        <f t="shared" si="3"/>
        <v>0</v>
      </c>
      <c r="K15" s="289">
        <f t="shared" si="4"/>
        <v>0</v>
      </c>
      <c r="L15" s="290">
        <f t="shared" si="5"/>
        <v>0</v>
      </c>
      <c r="N15" s="263"/>
      <c r="O15" s="264">
        <f>SUM(O8:O14)</f>
        <v>0</v>
      </c>
      <c r="P15" s="295">
        <f>IFERROR(SUMPRODUCT(O8:O14,P8:P14)/SUM(O8:O14),0)</f>
        <v>0</v>
      </c>
      <c r="Q15" s="264"/>
      <c r="R15" s="82"/>
      <c r="S15" s="296">
        <f>IFERROR(SUMPRODUCT(O8:O14,Q8:Q14, S8:S14)/SUMPRODUCT(O8:O14,Q8:Q14),0)</f>
        <v>0</v>
      </c>
      <c r="T15" s="297">
        <f>SUM(T8:T14)</f>
        <v>0</v>
      </c>
      <c r="U15" s="298">
        <f>S15*12</f>
        <v>0</v>
      </c>
    </row>
    <row r="16" spans="3:23" ht="16.5" thickBot="1" x14ac:dyDescent="0.3">
      <c r="C16" s="255"/>
      <c r="D16" s="256"/>
      <c r="E16" s="257"/>
      <c r="F16" s="257"/>
      <c r="G16" s="258"/>
      <c r="H16" s="243"/>
      <c r="I16" s="259"/>
      <c r="J16" s="288">
        <f t="shared" si="3"/>
        <v>0</v>
      </c>
      <c r="K16" s="289">
        <f t="shared" si="4"/>
        <v>0</v>
      </c>
      <c r="L16" s="290">
        <f t="shared" si="5"/>
        <v>0</v>
      </c>
      <c r="N16" s="461" t="s">
        <v>190</v>
      </c>
      <c r="O16" s="462"/>
      <c r="P16" s="462"/>
      <c r="Q16" s="462"/>
      <c r="R16" s="462"/>
      <c r="S16" s="462"/>
      <c r="T16" s="462"/>
      <c r="U16" s="462"/>
    </row>
    <row r="17" spans="3:24" ht="15.75" thickBot="1" x14ac:dyDescent="0.3">
      <c r="C17" s="255"/>
      <c r="D17" s="256"/>
      <c r="E17" s="257"/>
      <c r="F17" s="257"/>
      <c r="G17" s="258"/>
      <c r="H17" s="243"/>
      <c r="I17" s="260"/>
      <c r="J17" s="288">
        <f t="shared" si="3"/>
        <v>0</v>
      </c>
      <c r="K17" s="289">
        <f t="shared" si="4"/>
        <v>0</v>
      </c>
      <c r="L17" s="290">
        <f t="shared" si="5"/>
        <v>0</v>
      </c>
      <c r="N17" s="263" t="s">
        <v>75</v>
      </c>
      <c r="O17" s="264" t="s">
        <v>105</v>
      </c>
      <c r="P17" s="463" t="s">
        <v>106</v>
      </c>
      <c r="Q17" s="463"/>
      <c r="R17" s="266" t="s">
        <v>107</v>
      </c>
      <c r="S17" s="266" t="s">
        <v>138</v>
      </c>
      <c r="T17" s="266" t="s">
        <v>108</v>
      </c>
      <c r="U17" s="265" t="s">
        <v>147</v>
      </c>
    </row>
    <row r="18" spans="3:24" x14ac:dyDescent="0.25">
      <c r="C18" s="255"/>
      <c r="D18" s="256"/>
      <c r="E18" s="257"/>
      <c r="F18" s="257"/>
      <c r="G18" s="258"/>
      <c r="H18" s="243"/>
      <c r="I18" s="260"/>
      <c r="J18" s="288">
        <f t="shared" si="3"/>
        <v>0</v>
      </c>
      <c r="K18" s="289">
        <f t="shared" si="4"/>
        <v>0</v>
      </c>
      <c r="L18" s="290">
        <f t="shared" si="5"/>
        <v>0</v>
      </c>
      <c r="N18" s="472" t="str" cm="1">
        <f t="array" ref="N18">IFERROR(_xlfn.UNIQUE(_xlfn._xlws.FILTER(E8:E500, (E8:E500&lt;&gt;"Commercial")*(E8:E500&lt;&gt;""))), "N/A")</f>
        <v>N/A</v>
      </c>
      <c r="O18" s="299">
        <f>COUNTIF($E$8:$E$500,N18)</f>
        <v>0</v>
      </c>
      <c r="P18" s="470"/>
      <c r="Q18" s="470"/>
      <c r="R18" s="301">
        <f>P18*O18</f>
        <v>0</v>
      </c>
      <c r="S18" s="300">
        <f>IFERROR(P18/Q8,0)</f>
        <v>0</v>
      </c>
      <c r="T18" s="301">
        <f>R18*12</f>
        <v>0</v>
      </c>
      <c r="U18" s="287">
        <f t="shared" ref="U18:U24" si="10">IFERROR(S18*12,0)</f>
        <v>0</v>
      </c>
    </row>
    <row r="19" spans="3:24" x14ac:dyDescent="0.25">
      <c r="C19" s="255"/>
      <c r="D19" s="256"/>
      <c r="E19" s="257"/>
      <c r="F19" s="257"/>
      <c r="G19" s="258"/>
      <c r="H19" s="243"/>
      <c r="I19" s="259"/>
      <c r="J19" s="288">
        <f t="shared" si="3"/>
        <v>0</v>
      </c>
      <c r="K19" s="289">
        <f t="shared" si="4"/>
        <v>0</v>
      </c>
      <c r="L19" s="290">
        <f t="shared" si="5"/>
        <v>0</v>
      </c>
      <c r="N19" s="473"/>
      <c r="O19" s="81">
        <f t="shared" ref="O19:O24" si="11">COUNTIF($E$8:$E$500,N19)</f>
        <v>0</v>
      </c>
      <c r="P19" s="471"/>
      <c r="Q19" s="471"/>
      <c r="R19" s="291">
        <f t="shared" ref="R19:R24" si="12">P19*O19</f>
        <v>0</v>
      </c>
      <c r="S19" s="303">
        <f>IFERROR(P19/Q9,0)</f>
        <v>0</v>
      </c>
      <c r="T19" s="468">
        <f>R19*12</f>
        <v>0</v>
      </c>
      <c r="U19" s="292">
        <f t="shared" si="10"/>
        <v>0</v>
      </c>
    </row>
    <row r="20" spans="3:24" x14ac:dyDescent="0.25">
      <c r="C20" s="255"/>
      <c r="D20" s="256"/>
      <c r="E20" s="257"/>
      <c r="F20" s="257"/>
      <c r="G20" s="258"/>
      <c r="H20" s="243"/>
      <c r="I20" s="259"/>
      <c r="J20" s="288">
        <f t="shared" si="3"/>
        <v>0</v>
      </c>
      <c r="K20" s="289">
        <f t="shared" si="4"/>
        <v>0</v>
      </c>
      <c r="L20" s="290">
        <f t="shared" si="5"/>
        <v>0</v>
      </c>
      <c r="N20" s="473"/>
      <c r="O20" s="81">
        <f t="shared" si="11"/>
        <v>0</v>
      </c>
      <c r="P20" s="471"/>
      <c r="Q20" s="471"/>
      <c r="R20" s="291">
        <f t="shared" si="12"/>
        <v>0</v>
      </c>
      <c r="S20" s="303">
        <f>IFERROR(P20/Q10,0)</f>
        <v>0</v>
      </c>
      <c r="T20" s="468">
        <f>R20*12</f>
        <v>0</v>
      </c>
      <c r="U20" s="292">
        <f t="shared" si="10"/>
        <v>0</v>
      </c>
    </row>
    <row r="21" spans="3:24" x14ac:dyDescent="0.25">
      <c r="C21" s="255"/>
      <c r="D21" s="256"/>
      <c r="E21" s="257"/>
      <c r="F21" s="257"/>
      <c r="G21" s="258"/>
      <c r="H21" s="243"/>
      <c r="I21" s="260"/>
      <c r="J21" s="288">
        <f t="shared" si="3"/>
        <v>0</v>
      </c>
      <c r="K21" s="289">
        <f t="shared" si="4"/>
        <v>0</v>
      </c>
      <c r="L21" s="290">
        <f t="shared" si="5"/>
        <v>0</v>
      </c>
      <c r="N21" s="473"/>
      <c r="O21" s="81">
        <f t="shared" si="11"/>
        <v>0</v>
      </c>
      <c r="P21" s="471"/>
      <c r="Q21" s="471"/>
      <c r="R21" s="291">
        <f t="shared" si="12"/>
        <v>0</v>
      </c>
      <c r="S21" s="303">
        <f>IFERROR(P21/Q11,0)</f>
        <v>0</v>
      </c>
      <c r="T21" s="468">
        <f>R21*12</f>
        <v>0</v>
      </c>
      <c r="U21" s="292">
        <f t="shared" si="10"/>
        <v>0</v>
      </c>
    </row>
    <row r="22" spans="3:24" x14ac:dyDescent="0.25">
      <c r="C22" s="255"/>
      <c r="D22" s="256"/>
      <c r="E22" s="257"/>
      <c r="F22" s="257"/>
      <c r="G22" s="258"/>
      <c r="H22" s="243"/>
      <c r="I22" s="259"/>
      <c r="J22" s="288">
        <f t="shared" si="3"/>
        <v>0</v>
      </c>
      <c r="K22" s="289">
        <f t="shared" si="4"/>
        <v>0</v>
      </c>
      <c r="L22" s="290">
        <f t="shared" si="5"/>
        <v>0</v>
      </c>
      <c r="N22" s="473"/>
      <c r="O22" s="81">
        <f t="shared" si="11"/>
        <v>0</v>
      </c>
      <c r="P22" s="471"/>
      <c r="Q22" s="471"/>
      <c r="R22" s="291">
        <f t="shared" si="12"/>
        <v>0</v>
      </c>
      <c r="S22" s="303">
        <f>IFERROR(P22/Q12,0)</f>
        <v>0</v>
      </c>
      <c r="T22" s="468">
        <f>R22*12</f>
        <v>0</v>
      </c>
      <c r="U22" s="292">
        <f t="shared" si="10"/>
        <v>0</v>
      </c>
    </row>
    <row r="23" spans="3:24" x14ac:dyDescent="0.25">
      <c r="C23" s="255"/>
      <c r="D23" s="256"/>
      <c r="E23" s="257"/>
      <c r="F23" s="257"/>
      <c r="G23" s="258"/>
      <c r="H23" s="243"/>
      <c r="I23" s="260"/>
      <c r="J23" s="288">
        <f t="shared" si="3"/>
        <v>0</v>
      </c>
      <c r="K23" s="289">
        <f t="shared" si="4"/>
        <v>0</v>
      </c>
      <c r="L23" s="290">
        <f t="shared" si="5"/>
        <v>0</v>
      </c>
      <c r="N23" s="473"/>
      <c r="O23" s="81">
        <f t="shared" si="11"/>
        <v>0</v>
      </c>
      <c r="P23" s="471"/>
      <c r="Q23" s="471"/>
      <c r="R23" s="291">
        <f t="shared" si="12"/>
        <v>0</v>
      </c>
      <c r="S23" s="303">
        <f>IFERROR(P23/Q13,0)</f>
        <v>0</v>
      </c>
      <c r="T23" s="468">
        <f>R23*12</f>
        <v>0</v>
      </c>
      <c r="U23" s="292">
        <f t="shared" si="10"/>
        <v>0</v>
      </c>
    </row>
    <row r="24" spans="3:24" ht="15.75" thickBot="1" x14ac:dyDescent="0.3">
      <c r="C24" s="255"/>
      <c r="D24" s="256"/>
      <c r="E24" s="257"/>
      <c r="F24" s="257"/>
      <c r="G24" s="258"/>
      <c r="H24" s="243"/>
      <c r="I24" s="259"/>
      <c r="J24" s="288">
        <f t="shared" si="3"/>
        <v>0</v>
      </c>
      <c r="K24" s="289">
        <f t="shared" si="4"/>
        <v>0</v>
      </c>
      <c r="L24" s="290">
        <f t="shared" si="5"/>
        <v>0</v>
      </c>
      <c r="N24" s="474"/>
      <c r="O24" s="81">
        <f t="shared" si="11"/>
        <v>0</v>
      </c>
      <c r="P24" s="471"/>
      <c r="Q24" s="471"/>
      <c r="R24" s="291">
        <f t="shared" si="12"/>
        <v>0</v>
      </c>
      <c r="S24" s="303">
        <f>IFERROR(P24/Q14,0)</f>
        <v>0</v>
      </c>
      <c r="T24" s="468">
        <f>R24*12</f>
        <v>0</v>
      </c>
      <c r="U24" s="292">
        <f t="shared" si="10"/>
        <v>0</v>
      </c>
    </row>
    <row r="25" spans="3:24" ht="15.75" thickBot="1" x14ac:dyDescent="0.3">
      <c r="C25" s="255"/>
      <c r="D25" s="256"/>
      <c r="E25" s="257"/>
      <c r="F25" s="257"/>
      <c r="G25" s="258"/>
      <c r="H25" s="243"/>
      <c r="I25" s="259"/>
      <c r="J25" s="288">
        <f t="shared" si="3"/>
        <v>0</v>
      </c>
      <c r="K25" s="289">
        <f t="shared" si="4"/>
        <v>0</v>
      </c>
      <c r="L25" s="290">
        <f t="shared" si="5"/>
        <v>0</v>
      </c>
      <c r="N25" s="268" t="s">
        <v>43</v>
      </c>
      <c r="O25" s="305">
        <f>SUM(O18:O21)</f>
        <v>0</v>
      </c>
      <c r="P25" s="467">
        <f>IFERROR(SUMPRODUCT(O18:O24,P18:Q24)/SUM(O18:O24),0)</f>
        <v>0</v>
      </c>
      <c r="Q25" s="467"/>
      <c r="R25" s="82"/>
      <c r="S25" s="296">
        <f>IFERROR(SUMPRODUCT(O18:O24,S18:S24,Q8:Q14)/SUMPRODUCT(O18:O24,Q8:Q14),0)</f>
        <v>0</v>
      </c>
      <c r="T25" s="469">
        <f>SUM(T18:T21)</f>
        <v>0</v>
      </c>
      <c r="U25" s="298">
        <f>S25*12</f>
        <v>0</v>
      </c>
    </row>
    <row r="26" spans="3:24" x14ac:dyDescent="0.25">
      <c r="C26" s="255"/>
      <c r="D26" s="256"/>
      <c r="E26" s="257"/>
      <c r="F26" s="257"/>
      <c r="G26" s="258"/>
      <c r="H26" s="243"/>
      <c r="I26" s="259"/>
      <c r="J26" s="288">
        <f t="shared" si="3"/>
        <v>0</v>
      </c>
      <c r="K26" s="289">
        <f t="shared" si="4"/>
        <v>0</v>
      </c>
      <c r="L26" s="290">
        <f t="shared" si="5"/>
        <v>0</v>
      </c>
    </row>
    <row r="27" spans="3:24" ht="15.75" thickBot="1" x14ac:dyDescent="0.3">
      <c r="C27" s="255"/>
      <c r="D27" s="256"/>
      <c r="E27" s="257"/>
      <c r="F27" s="257"/>
      <c r="G27" s="258"/>
      <c r="H27" s="243"/>
      <c r="I27" s="259"/>
      <c r="J27" s="288">
        <f t="shared" si="3"/>
        <v>0</v>
      </c>
      <c r="K27" s="289">
        <f t="shared" si="4"/>
        <v>0</v>
      </c>
      <c r="L27" s="290">
        <f t="shared" si="5"/>
        <v>0</v>
      </c>
    </row>
    <row r="28" spans="3:24" ht="16.5" thickBot="1" x14ac:dyDescent="0.3">
      <c r="C28" s="255"/>
      <c r="D28" s="256"/>
      <c r="E28" s="257"/>
      <c r="F28" s="257"/>
      <c r="G28" s="258"/>
      <c r="H28" s="243"/>
      <c r="I28" s="259"/>
      <c r="J28" s="288">
        <f t="shared" si="3"/>
        <v>0</v>
      </c>
      <c r="K28" s="289">
        <f t="shared" si="4"/>
        <v>0</v>
      </c>
      <c r="L28" s="290">
        <f t="shared" si="5"/>
        <v>0</v>
      </c>
      <c r="N28" s="422" t="s">
        <v>183</v>
      </c>
      <c r="O28" s="423"/>
      <c r="P28" s="423"/>
      <c r="Q28" s="423"/>
      <c r="R28" s="423"/>
      <c r="S28" s="423"/>
      <c r="T28" s="424"/>
      <c r="U28" s="428" t="s">
        <v>109</v>
      </c>
    </row>
    <row r="29" spans="3:24" ht="18" customHeight="1" thickBot="1" x14ac:dyDescent="0.3">
      <c r="C29" s="255"/>
      <c r="D29" s="256"/>
      <c r="E29" s="257"/>
      <c r="F29" s="257"/>
      <c r="G29" s="258"/>
      <c r="H29" s="243"/>
      <c r="I29" s="260"/>
      <c r="J29" s="288">
        <f t="shared" si="3"/>
        <v>0</v>
      </c>
      <c r="K29" s="289">
        <f t="shared" si="4"/>
        <v>0</v>
      </c>
      <c r="L29" s="290">
        <f t="shared" si="5"/>
        <v>0</v>
      </c>
      <c r="M29" s="308"/>
      <c r="N29" s="263" t="s">
        <v>182</v>
      </c>
      <c r="O29" s="264" t="s">
        <v>102</v>
      </c>
      <c r="P29" s="264" t="s">
        <v>194</v>
      </c>
      <c r="Q29" s="264" t="s">
        <v>105</v>
      </c>
      <c r="R29" s="264" t="s">
        <v>185</v>
      </c>
      <c r="S29" s="266" t="s">
        <v>107</v>
      </c>
      <c r="T29" s="267" t="s">
        <v>108</v>
      </c>
      <c r="U29" s="429" cm="1">
        <f t="array" ref="U29">IFERROR(1-SUMPRODUCT((E8:E56="Commercial")*(F8:F56="Vacant"))/Q37, 0)</f>
        <v>0</v>
      </c>
      <c r="X29" s="309" t="s">
        <v>187</v>
      </c>
    </row>
    <row r="30" spans="3:24" x14ac:dyDescent="0.25">
      <c r="C30" s="255"/>
      <c r="D30" s="256"/>
      <c r="E30" s="257"/>
      <c r="F30" s="257"/>
      <c r="G30" s="258"/>
      <c r="H30" s="243"/>
      <c r="I30" s="260"/>
      <c r="J30" s="288">
        <f t="shared" si="3"/>
        <v>0</v>
      </c>
      <c r="K30" s="289">
        <f t="shared" si="4"/>
        <v>0</v>
      </c>
      <c r="L30" s="290">
        <f t="shared" si="5"/>
        <v>0</v>
      </c>
      <c r="M30" s="308"/>
      <c r="N30" s="302" t="str" cm="1">
        <f t="array" ref="N30">IFERROR(_xlfn.UNIQUE(_xlfn._xlws.FILTER(D8:D500, (E8:E500="Commercial")*(D8:D500&lt;&gt;""))), "N/A")</f>
        <v>N/A</v>
      </c>
      <c r="O30" s="81">
        <f>SUMIF($D$8:$D$500, N30, $G$8:$G$500)</f>
        <v>0</v>
      </c>
      <c r="P30" s="310">
        <f ca="1">IFERROR(IF((_xlfn.DAYS((VLOOKUP(N30,$D$8:$I$500,6,)),TODAY())/365)&lt;0, 0, _xlfn.DAYS((VLOOKUP(N30,$D$8:$I$500,6,)),TODAY())/365), )</f>
        <v>0</v>
      </c>
      <c r="Q30" s="282">
        <f>COUNTIF($D$8:$D$500,N30)</f>
        <v>0</v>
      </c>
      <c r="R30" s="291">
        <f t="shared" ref="R30:R36" si="13">IFERROR(S30/O30,)</f>
        <v>0</v>
      </c>
      <c r="S30" s="103">
        <f>IFERROR(SUMIFS($H$8:$H$500, $D$8:$D$500,N30,$F$8:$F$500, "Occupied")+COUNTIFS($D$8:$D$500, N30, $F$8:$F$500, "Vacant")*$P$47, 0)</f>
        <v>0</v>
      </c>
      <c r="T30" s="311">
        <f>S30*12</f>
        <v>0</v>
      </c>
      <c r="U30" s="428" t="s">
        <v>193</v>
      </c>
      <c r="X30" s="309"/>
    </row>
    <row r="31" spans="3:24" ht="15.75" thickBot="1" x14ac:dyDescent="0.3">
      <c r="C31" s="255"/>
      <c r="D31" s="256"/>
      <c r="E31" s="257"/>
      <c r="F31" s="257"/>
      <c r="G31" s="258"/>
      <c r="H31" s="243"/>
      <c r="I31" s="260"/>
      <c r="J31" s="288">
        <f t="shared" si="3"/>
        <v>0</v>
      </c>
      <c r="K31" s="289">
        <f t="shared" si="4"/>
        <v>0</v>
      </c>
      <c r="L31" s="290">
        <f t="shared" si="5"/>
        <v>0</v>
      </c>
      <c r="M31" s="308"/>
      <c r="N31" s="302"/>
      <c r="O31" s="81">
        <f t="shared" ref="O31:O36" si="14">SUMIF($D$8:$D$500, N31, $G$8:$G$500)</f>
        <v>0</v>
      </c>
      <c r="P31" s="310">
        <f t="shared" ref="P31:P37" ca="1" si="15">IFERROR(IF((_xlfn.DAYS((VLOOKUP(N31,$D$8:$I$500,6,)),TODAY())/365)&lt;0, 0, _xlfn.DAYS((VLOOKUP(N31,$D$8:$I$500,6,)),TODAY())/365), )</f>
        <v>0</v>
      </c>
      <c r="Q31" s="282">
        <f t="shared" ref="Q31:Q36" si="16">COUNTIF($D$8:$D$500,N31)</f>
        <v>0</v>
      </c>
      <c r="R31" s="291">
        <f t="shared" si="13"/>
        <v>0</v>
      </c>
      <c r="S31" s="103">
        <f t="shared" ref="S31:S36" si="17">IFERROR(SUMIFS($H$8:$H$500, $D$8:$D$500,N31,$F$8:$F$500, "Occupied")+COUNTIFS($D$8:$D$500, N31, $F$8:$F$500, "Vacant")*$P$47, 0)</f>
        <v>0</v>
      </c>
      <c r="T31" s="311">
        <f t="shared" ref="T31:T36" si="18">S31*12</f>
        <v>0</v>
      </c>
      <c r="U31" s="430">
        <f ca="1">IFERROR(SUMPRODUCT($O$30:$O$36,$P$30:$P$36)/SUMIF($N$30:$N$36, "&lt;&gt;Vacant", $O$30:$O$36), 0)</f>
        <v>0</v>
      </c>
    </row>
    <row r="32" spans="3:24" x14ac:dyDescent="0.25">
      <c r="C32" s="255"/>
      <c r="D32" s="256"/>
      <c r="E32" s="257"/>
      <c r="F32" s="257"/>
      <c r="G32" s="258"/>
      <c r="H32" s="243"/>
      <c r="I32" s="260"/>
      <c r="J32" s="288">
        <f t="shared" si="3"/>
        <v>0</v>
      </c>
      <c r="K32" s="289">
        <f t="shared" si="4"/>
        <v>0</v>
      </c>
      <c r="L32" s="290">
        <f t="shared" si="5"/>
        <v>0</v>
      </c>
      <c r="N32" s="302"/>
      <c r="O32" s="81">
        <f t="shared" si="14"/>
        <v>0</v>
      </c>
      <c r="P32" s="310">
        <f t="shared" ca="1" si="15"/>
        <v>0</v>
      </c>
      <c r="Q32" s="282">
        <f t="shared" si="16"/>
        <v>0</v>
      </c>
      <c r="R32" s="291">
        <f t="shared" si="13"/>
        <v>0</v>
      </c>
      <c r="S32" s="103">
        <f t="shared" si="17"/>
        <v>0</v>
      </c>
      <c r="T32" s="311">
        <f t="shared" si="18"/>
        <v>0</v>
      </c>
      <c r="U32" s="431" t="s">
        <v>192</v>
      </c>
    </row>
    <row r="33" spans="3:22" ht="15.75" thickBot="1" x14ac:dyDescent="0.3">
      <c r="C33" s="255"/>
      <c r="D33" s="256"/>
      <c r="E33" s="257"/>
      <c r="F33" s="257"/>
      <c r="G33" s="258"/>
      <c r="H33" s="243"/>
      <c r="I33" s="260"/>
      <c r="J33" s="288">
        <f t="shared" si="3"/>
        <v>0</v>
      </c>
      <c r="K33" s="289">
        <f t="shared" si="4"/>
        <v>0</v>
      </c>
      <c r="L33" s="290">
        <f t="shared" si="5"/>
        <v>0</v>
      </c>
      <c r="M33" s="308"/>
      <c r="N33" s="302"/>
      <c r="O33" s="81">
        <f t="shared" si="14"/>
        <v>0</v>
      </c>
      <c r="P33" s="310">
        <f t="shared" ca="1" si="15"/>
        <v>0</v>
      </c>
      <c r="Q33" s="282">
        <f t="shared" si="16"/>
        <v>0</v>
      </c>
      <c r="R33" s="291">
        <f t="shared" si="13"/>
        <v>0</v>
      </c>
      <c r="S33" s="103">
        <f t="shared" si="17"/>
        <v>0</v>
      </c>
      <c r="T33" s="311">
        <f t="shared" si="18"/>
        <v>0</v>
      </c>
      <c r="U33" s="432">
        <f>IFERROR(AVERAGEIF(E8:E56, "Commercial", L8:L56), 0)</f>
        <v>0</v>
      </c>
    </row>
    <row r="34" spans="3:22" x14ac:dyDescent="0.25">
      <c r="C34" s="255"/>
      <c r="D34" s="256"/>
      <c r="E34" s="257"/>
      <c r="F34" s="257"/>
      <c r="G34" s="258"/>
      <c r="H34" s="243"/>
      <c r="I34" s="260"/>
      <c r="J34" s="288">
        <f t="shared" si="3"/>
        <v>0</v>
      </c>
      <c r="K34" s="289">
        <f t="shared" si="4"/>
        <v>0</v>
      </c>
      <c r="L34" s="290">
        <f t="shared" si="5"/>
        <v>0</v>
      </c>
      <c r="M34" s="308"/>
      <c r="N34" s="302"/>
      <c r="O34" s="81">
        <f t="shared" si="14"/>
        <v>0</v>
      </c>
      <c r="P34" s="310">
        <f t="shared" ca="1" si="15"/>
        <v>0</v>
      </c>
      <c r="Q34" s="282">
        <f t="shared" si="16"/>
        <v>0</v>
      </c>
      <c r="R34" s="291">
        <f t="shared" si="13"/>
        <v>0</v>
      </c>
      <c r="S34" s="103">
        <f t="shared" si="17"/>
        <v>0</v>
      </c>
      <c r="T34" s="311">
        <f t="shared" si="18"/>
        <v>0</v>
      </c>
    </row>
    <row r="35" spans="3:22" x14ac:dyDescent="0.25">
      <c r="C35" s="255"/>
      <c r="D35" s="256"/>
      <c r="E35" s="257"/>
      <c r="F35" s="257"/>
      <c r="G35" s="258"/>
      <c r="H35" s="243"/>
      <c r="I35" s="260"/>
      <c r="J35" s="288">
        <f t="shared" si="3"/>
        <v>0</v>
      </c>
      <c r="K35" s="289">
        <f t="shared" si="4"/>
        <v>0</v>
      </c>
      <c r="L35" s="290">
        <f t="shared" si="5"/>
        <v>0</v>
      </c>
      <c r="M35" s="308"/>
      <c r="N35" s="302"/>
      <c r="O35" s="81">
        <f t="shared" si="14"/>
        <v>0</v>
      </c>
      <c r="P35" s="310">
        <f t="shared" ca="1" si="15"/>
        <v>0</v>
      </c>
      <c r="Q35" s="282">
        <f t="shared" si="16"/>
        <v>0</v>
      </c>
      <c r="R35" s="291">
        <f t="shared" si="13"/>
        <v>0</v>
      </c>
      <c r="S35" s="103">
        <f t="shared" si="17"/>
        <v>0</v>
      </c>
      <c r="T35" s="311">
        <f t="shared" si="18"/>
        <v>0</v>
      </c>
    </row>
    <row r="36" spans="3:22" ht="15.75" thickBot="1" x14ac:dyDescent="0.3">
      <c r="C36" s="255"/>
      <c r="D36" s="256"/>
      <c r="E36" s="257"/>
      <c r="F36" s="257"/>
      <c r="G36" s="258"/>
      <c r="H36" s="243"/>
      <c r="I36" s="260"/>
      <c r="J36" s="288">
        <f t="shared" si="3"/>
        <v>0</v>
      </c>
      <c r="K36" s="289">
        <f t="shared" si="4"/>
        <v>0</v>
      </c>
      <c r="L36" s="290">
        <f t="shared" si="5"/>
        <v>0</v>
      </c>
      <c r="M36" s="308"/>
      <c r="N36" s="302"/>
      <c r="O36" s="81">
        <f t="shared" si="14"/>
        <v>0</v>
      </c>
      <c r="P36" s="310">
        <f t="shared" ca="1" si="15"/>
        <v>0</v>
      </c>
      <c r="Q36" s="282">
        <f t="shared" si="16"/>
        <v>0</v>
      </c>
      <c r="R36" s="291">
        <f t="shared" si="13"/>
        <v>0</v>
      </c>
      <c r="S36" s="103">
        <f t="shared" si="17"/>
        <v>0</v>
      </c>
      <c r="T36" s="311">
        <f t="shared" si="18"/>
        <v>0</v>
      </c>
    </row>
    <row r="37" spans="3:22" ht="15.75" thickBot="1" x14ac:dyDescent="0.3">
      <c r="C37" s="255"/>
      <c r="D37" s="256"/>
      <c r="E37" s="257"/>
      <c r="F37" s="257"/>
      <c r="G37" s="258"/>
      <c r="H37" s="243"/>
      <c r="I37" s="260"/>
      <c r="J37" s="288">
        <f t="shared" si="3"/>
        <v>0</v>
      </c>
      <c r="K37" s="289">
        <f t="shared" si="4"/>
        <v>0</v>
      </c>
      <c r="L37" s="290">
        <f t="shared" si="5"/>
        <v>0</v>
      </c>
      <c r="N37" s="268"/>
      <c r="O37" s="305">
        <f>SUM(O30:O36)</f>
        <v>0</v>
      </c>
      <c r="P37" s="82">
        <f t="shared" ca="1" si="15"/>
        <v>0</v>
      </c>
      <c r="Q37" s="264">
        <f>SUM(Q30:Q36)</f>
        <v>0</v>
      </c>
      <c r="R37" s="306"/>
      <c r="S37" s="82"/>
      <c r="T37" s="312">
        <f>SUM(T30:T36)</f>
        <v>0</v>
      </c>
    </row>
    <row r="38" spans="3:22" ht="16.5" thickBot="1" x14ac:dyDescent="0.3">
      <c r="C38" s="255"/>
      <c r="D38" s="256"/>
      <c r="E38" s="257"/>
      <c r="F38" s="257"/>
      <c r="G38" s="258"/>
      <c r="H38" s="243"/>
      <c r="I38" s="260"/>
      <c r="J38" s="288">
        <f t="shared" si="3"/>
        <v>0</v>
      </c>
      <c r="K38" s="289">
        <f t="shared" si="4"/>
        <v>0</v>
      </c>
      <c r="L38" s="290">
        <f t="shared" si="5"/>
        <v>0</v>
      </c>
      <c r="M38" s="308"/>
      <c r="N38" s="425" t="s">
        <v>189</v>
      </c>
      <c r="O38" s="426"/>
      <c r="P38" s="426"/>
      <c r="Q38" s="426"/>
      <c r="R38" s="426"/>
      <c r="S38" s="427"/>
    </row>
    <row r="39" spans="3:22" ht="32.25" customHeight="1" thickBot="1" x14ac:dyDescent="0.3">
      <c r="C39" s="255"/>
      <c r="D39" s="256"/>
      <c r="E39" s="257"/>
      <c r="F39" s="257"/>
      <c r="G39" s="258"/>
      <c r="H39" s="243"/>
      <c r="I39" s="260"/>
      <c r="J39" s="288">
        <f t="shared" si="3"/>
        <v>0</v>
      </c>
      <c r="K39" s="289">
        <f t="shared" si="4"/>
        <v>0</v>
      </c>
      <c r="L39" s="290">
        <f t="shared" si="5"/>
        <v>0</v>
      </c>
      <c r="M39" s="308"/>
      <c r="N39" s="263" t="s">
        <v>182</v>
      </c>
      <c r="O39" s="264" t="s">
        <v>102</v>
      </c>
      <c r="P39" s="266" t="s">
        <v>106</v>
      </c>
      <c r="Q39" s="266" t="s">
        <v>138</v>
      </c>
      <c r="R39" s="266" t="s">
        <v>107</v>
      </c>
      <c r="S39" s="267" t="s">
        <v>108</v>
      </c>
      <c r="V39" s="308"/>
    </row>
    <row r="40" spans="3:22" x14ac:dyDescent="0.25">
      <c r="C40" s="255"/>
      <c r="D40" s="256"/>
      <c r="E40" s="257"/>
      <c r="F40" s="257"/>
      <c r="G40" s="258"/>
      <c r="H40" s="243"/>
      <c r="I40" s="260"/>
      <c r="J40" s="288">
        <f t="shared" si="3"/>
        <v>0</v>
      </c>
      <c r="K40" s="289">
        <f t="shared" si="4"/>
        <v>0</v>
      </c>
      <c r="L40" s="290">
        <f t="shared" si="5"/>
        <v>0</v>
      </c>
      <c r="N40" s="302" t="str" cm="1">
        <f t="array" ref="N40">IFERROR(_xlfn.UNIQUE(_xlfn._xlws.FILTER(D8:D500, (E8:E500="Commercial")*(D8:D500&lt;&gt;""))), "N/A")</f>
        <v>N/A</v>
      </c>
      <c r="O40" s="322">
        <f>O30</f>
        <v>0</v>
      </c>
      <c r="P40" s="261"/>
      <c r="Q40" s="303">
        <f>IFERROR(P40/O40,0)</f>
        <v>0</v>
      </c>
      <c r="R40" s="103">
        <f>P40</f>
        <v>0</v>
      </c>
      <c r="S40" s="304">
        <f>R40*12</f>
        <v>0</v>
      </c>
    </row>
    <row r="41" spans="3:22" x14ac:dyDescent="0.25">
      <c r="C41" s="255"/>
      <c r="D41" s="256"/>
      <c r="E41" s="257"/>
      <c r="F41" s="257"/>
      <c r="G41" s="258"/>
      <c r="H41" s="243"/>
      <c r="I41" s="260"/>
      <c r="J41" s="288">
        <f t="shared" si="3"/>
        <v>0</v>
      </c>
      <c r="K41" s="289">
        <f t="shared" si="4"/>
        <v>0</v>
      </c>
      <c r="L41" s="290">
        <f t="shared" si="5"/>
        <v>0</v>
      </c>
      <c r="M41" s="308"/>
      <c r="N41" s="302"/>
      <c r="O41" s="113">
        <f t="shared" ref="O41:O46" si="19">O31</f>
        <v>0</v>
      </c>
      <c r="P41" s="261"/>
      <c r="Q41" s="303">
        <f t="shared" ref="Q41:Q46" si="20">IFERROR(P41/O41,0)</f>
        <v>0</v>
      </c>
      <c r="R41" s="103">
        <f t="shared" ref="R41:R46" si="21">P41</f>
        <v>0</v>
      </c>
      <c r="S41" s="304">
        <f>R41*12</f>
        <v>0</v>
      </c>
    </row>
    <row r="42" spans="3:22" x14ac:dyDescent="0.25">
      <c r="C42" s="255"/>
      <c r="D42" s="256"/>
      <c r="E42" s="257"/>
      <c r="F42" s="257"/>
      <c r="G42" s="258"/>
      <c r="H42" s="243"/>
      <c r="I42" s="260"/>
      <c r="J42" s="288">
        <f t="shared" si="3"/>
        <v>0</v>
      </c>
      <c r="K42" s="289">
        <f t="shared" si="4"/>
        <v>0</v>
      </c>
      <c r="L42" s="290">
        <f t="shared" si="5"/>
        <v>0</v>
      </c>
      <c r="M42" s="308"/>
      <c r="N42" s="302"/>
      <c r="O42" s="113">
        <f t="shared" si="19"/>
        <v>0</v>
      </c>
      <c r="P42" s="261"/>
      <c r="Q42" s="303">
        <f t="shared" si="20"/>
        <v>0</v>
      </c>
      <c r="R42" s="103">
        <f t="shared" si="21"/>
        <v>0</v>
      </c>
      <c r="S42" s="304">
        <f t="shared" ref="S42:S46" si="22">R42*12</f>
        <v>0</v>
      </c>
    </row>
    <row r="43" spans="3:22" x14ac:dyDescent="0.25">
      <c r="C43" s="255"/>
      <c r="D43" s="256"/>
      <c r="E43" s="257"/>
      <c r="F43" s="257"/>
      <c r="G43" s="258"/>
      <c r="H43" s="243"/>
      <c r="I43" s="260"/>
      <c r="J43" s="288">
        <f t="shared" si="3"/>
        <v>0</v>
      </c>
      <c r="K43" s="289">
        <f t="shared" si="4"/>
        <v>0</v>
      </c>
      <c r="L43" s="290">
        <f t="shared" si="5"/>
        <v>0</v>
      </c>
      <c r="N43" s="302"/>
      <c r="O43" s="113">
        <f t="shared" si="19"/>
        <v>0</v>
      </c>
      <c r="P43" s="261"/>
      <c r="Q43" s="303">
        <f t="shared" si="20"/>
        <v>0</v>
      </c>
      <c r="R43" s="103">
        <f t="shared" si="21"/>
        <v>0</v>
      </c>
      <c r="S43" s="304">
        <f t="shared" si="22"/>
        <v>0</v>
      </c>
    </row>
    <row r="44" spans="3:22" x14ac:dyDescent="0.25">
      <c r="C44" s="255"/>
      <c r="D44" s="256"/>
      <c r="E44" s="257"/>
      <c r="F44" s="257"/>
      <c r="G44" s="258"/>
      <c r="H44" s="243"/>
      <c r="I44" s="260"/>
      <c r="J44" s="288">
        <f t="shared" si="3"/>
        <v>0</v>
      </c>
      <c r="K44" s="289">
        <f t="shared" si="4"/>
        <v>0</v>
      </c>
      <c r="L44" s="290">
        <f t="shared" si="5"/>
        <v>0</v>
      </c>
      <c r="M44" s="308"/>
      <c r="N44" s="302"/>
      <c r="O44" s="113">
        <f t="shared" si="19"/>
        <v>0</v>
      </c>
      <c r="P44" s="261"/>
      <c r="Q44" s="303">
        <f t="shared" si="20"/>
        <v>0</v>
      </c>
      <c r="R44" s="103">
        <f t="shared" si="21"/>
        <v>0</v>
      </c>
      <c r="S44" s="304">
        <f t="shared" si="22"/>
        <v>0</v>
      </c>
    </row>
    <row r="45" spans="3:22" x14ac:dyDescent="0.25">
      <c r="C45" s="255"/>
      <c r="D45" s="256"/>
      <c r="E45" s="257"/>
      <c r="F45" s="257"/>
      <c r="G45" s="258"/>
      <c r="H45" s="243"/>
      <c r="I45" s="260"/>
      <c r="J45" s="288">
        <f t="shared" si="3"/>
        <v>0</v>
      </c>
      <c r="K45" s="289">
        <f t="shared" ref="K45:K55" si="23">J45-H45</f>
        <v>0</v>
      </c>
      <c r="L45" s="290">
        <f t="shared" si="5"/>
        <v>0</v>
      </c>
      <c r="M45" s="308"/>
      <c r="N45" s="302"/>
      <c r="O45" s="113">
        <f t="shared" si="19"/>
        <v>0</v>
      </c>
      <c r="P45" s="261"/>
      <c r="Q45" s="303">
        <f t="shared" si="20"/>
        <v>0</v>
      </c>
      <c r="R45" s="103">
        <f t="shared" si="21"/>
        <v>0</v>
      </c>
      <c r="S45" s="304">
        <f t="shared" si="22"/>
        <v>0</v>
      </c>
    </row>
    <row r="46" spans="3:22" ht="15.75" thickBot="1" x14ac:dyDescent="0.3">
      <c r="C46" s="255"/>
      <c r="D46" s="256"/>
      <c r="E46" s="257"/>
      <c r="F46" s="257"/>
      <c r="G46" s="258"/>
      <c r="H46" s="243"/>
      <c r="I46" s="260"/>
      <c r="J46" s="288">
        <f t="shared" si="3"/>
        <v>0</v>
      </c>
      <c r="K46" s="289">
        <f t="shared" si="23"/>
        <v>0</v>
      </c>
      <c r="L46" s="290">
        <f t="shared" si="5"/>
        <v>0</v>
      </c>
      <c r="N46" s="302"/>
      <c r="O46" s="323">
        <f t="shared" si="19"/>
        <v>0</v>
      </c>
      <c r="P46" s="262"/>
      <c r="Q46" s="303">
        <f t="shared" si="20"/>
        <v>0</v>
      </c>
      <c r="R46" s="103">
        <f t="shared" si="21"/>
        <v>0</v>
      </c>
      <c r="S46" s="313">
        <f t="shared" si="22"/>
        <v>0</v>
      </c>
    </row>
    <row r="47" spans="3:22" ht="15.75" thickBot="1" x14ac:dyDescent="0.3">
      <c r="C47" s="255"/>
      <c r="D47" s="256"/>
      <c r="E47" s="257"/>
      <c r="F47" s="257"/>
      <c r="G47" s="258"/>
      <c r="H47" s="243"/>
      <c r="I47" s="260"/>
      <c r="J47" s="288">
        <f t="shared" si="3"/>
        <v>0</v>
      </c>
      <c r="K47" s="289">
        <f t="shared" si="23"/>
        <v>0</v>
      </c>
      <c r="L47" s="290">
        <f t="shared" si="5"/>
        <v>0</v>
      </c>
      <c r="N47" s="268" t="s">
        <v>43</v>
      </c>
      <c r="O47" s="305">
        <f>SUM(O40:O43)</f>
        <v>0</v>
      </c>
      <c r="P47" s="306">
        <f>IFERROR(AVERAGE(P40:P46), 0)</f>
        <v>0</v>
      </c>
      <c r="Q47" s="296">
        <f>IFERROR(SUMPRODUCT(O40:O46,Q40:Q46)/O47,0)</f>
        <v>0</v>
      </c>
      <c r="R47" s="82"/>
      <c r="S47" s="307">
        <f>SUM(S40:S43)</f>
        <v>0</v>
      </c>
    </row>
    <row r="48" spans="3:22" x14ac:dyDescent="0.25">
      <c r="C48" s="255"/>
      <c r="D48" s="256"/>
      <c r="E48" s="257"/>
      <c r="F48" s="257"/>
      <c r="G48" s="258"/>
      <c r="H48" s="243"/>
      <c r="I48" s="260"/>
      <c r="J48" s="288">
        <f t="shared" si="3"/>
        <v>0</v>
      </c>
      <c r="K48" s="289">
        <f t="shared" si="23"/>
        <v>0</v>
      </c>
      <c r="L48" s="290">
        <f t="shared" si="5"/>
        <v>0</v>
      </c>
    </row>
    <row r="49" spans="3:19" ht="15.75" thickBot="1" x14ac:dyDescent="0.3">
      <c r="C49" s="255"/>
      <c r="D49" s="256"/>
      <c r="E49" s="257"/>
      <c r="F49" s="257"/>
      <c r="G49" s="258"/>
      <c r="H49" s="243"/>
      <c r="I49" s="260"/>
      <c r="J49" s="288">
        <f t="shared" si="3"/>
        <v>0</v>
      </c>
      <c r="K49" s="289">
        <f t="shared" si="23"/>
        <v>0</v>
      </c>
      <c r="L49" s="290">
        <f t="shared" si="5"/>
        <v>0</v>
      </c>
    </row>
    <row r="50" spans="3:19" ht="16.5" thickBot="1" x14ac:dyDescent="0.3">
      <c r="C50" s="255"/>
      <c r="D50" s="256"/>
      <c r="E50" s="257"/>
      <c r="F50" s="257"/>
      <c r="G50" s="258"/>
      <c r="H50" s="243"/>
      <c r="I50" s="260"/>
      <c r="J50" s="288">
        <f t="shared" si="3"/>
        <v>0</v>
      </c>
      <c r="K50" s="289">
        <f t="shared" si="23"/>
        <v>0</v>
      </c>
      <c r="L50" s="290">
        <f t="shared" si="5"/>
        <v>0</v>
      </c>
      <c r="N50" s="422" t="s">
        <v>196</v>
      </c>
      <c r="O50" s="423"/>
      <c r="P50" s="423"/>
      <c r="Q50" s="424"/>
      <c r="R50" s="239"/>
      <c r="S50" s="239"/>
    </row>
    <row r="51" spans="3:19" x14ac:dyDescent="0.25">
      <c r="C51" s="255"/>
      <c r="D51" s="256"/>
      <c r="E51" s="257"/>
      <c r="F51" s="257"/>
      <c r="G51" s="258"/>
      <c r="H51" s="243"/>
      <c r="I51" s="260"/>
      <c r="J51" s="288">
        <f t="shared" si="3"/>
        <v>0</v>
      </c>
      <c r="K51" s="289">
        <f t="shared" si="23"/>
        <v>0</v>
      </c>
      <c r="L51" s="290">
        <f t="shared" si="5"/>
        <v>0</v>
      </c>
      <c r="N51" s="104"/>
      <c r="O51" s="348" t="s">
        <v>116</v>
      </c>
      <c r="P51" s="348"/>
      <c r="Q51" s="270" t="s">
        <v>74</v>
      </c>
    </row>
    <row r="52" spans="3:19" ht="15.75" thickBot="1" x14ac:dyDescent="0.3">
      <c r="C52" s="255"/>
      <c r="D52" s="256"/>
      <c r="E52" s="257"/>
      <c r="F52" s="257"/>
      <c r="G52" s="258"/>
      <c r="H52" s="243"/>
      <c r="I52" s="260"/>
      <c r="J52" s="288">
        <f t="shared" si="3"/>
        <v>0</v>
      </c>
      <c r="K52" s="289">
        <f t="shared" si="23"/>
        <v>0</v>
      </c>
      <c r="L52" s="290">
        <f t="shared" si="5"/>
        <v>0</v>
      </c>
      <c r="N52" s="271" t="s">
        <v>43</v>
      </c>
      <c r="O52" s="115"/>
      <c r="P52" s="272">
        <f>G501</f>
        <v>0</v>
      </c>
      <c r="Q52" s="273">
        <f>H501</f>
        <v>0</v>
      </c>
    </row>
    <row r="53" spans="3:19" x14ac:dyDescent="0.25">
      <c r="C53" s="255"/>
      <c r="D53" s="256"/>
      <c r="E53" s="257"/>
      <c r="F53" s="257"/>
      <c r="G53" s="258"/>
      <c r="H53" s="243"/>
      <c r="I53" s="260"/>
      <c r="J53" s="288">
        <f t="shared" si="3"/>
        <v>0</v>
      </c>
      <c r="K53" s="289">
        <f t="shared" si="23"/>
        <v>0</v>
      </c>
      <c r="L53" s="290">
        <f t="shared" si="5"/>
        <v>0</v>
      </c>
    </row>
    <row r="54" spans="3:19" x14ac:dyDescent="0.25">
      <c r="C54" s="255"/>
      <c r="D54" s="256"/>
      <c r="E54" s="257"/>
      <c r="F54" s="257"/>
      <c r="G54" s="258"/>
      <c r="H54" s="243"/>
      <c r="I54" s="260"/>
      <c r="J54" s="288">
        <f t="shared" si="3"/>
        <v>0</v>
      </c>
      <c r="K54" s="289">
        <f t="shared" si="23"/>
        <v>0</v>
      </c>
      <c r="L54" s="290">
        <f t="shared" si="5"/>
        <v>0</v>
      </c>
    </row>
    <row r="55" spans="3:19" x14ac:dyDescent="0.25">
      <c r="C55" s="255"/>
      <c r="D55" s="256"/>
      <c r="E55" s="257"/>
      <c r="F55" s="257"/>
      <c r="G55" s="258"/>
      <c r="H55" s="243"/>
      <c r="I55" s="260"/>
      <c r="J55" s="288">
        <f t="shared" si="3"/>
        <v>0</v>
      </c>
      <c r="K55" s="289">
        <f t="shared" si="23"/>
        <v>0</v>
      </c>
      <c r="L55" s="290">
        <f t="shared" si="5"/>
        <v>0</v>
      </c>
    </row>
    <row r="56" spans="3:19" x14ac:dyDescent="0.25">
      <c r="C56" s="255"/>
      <c r="D56" s="256"/>
      <c r="E56" s="257"/>
      <c r="F56" s="257"/>
      <c r="G56" s="258"/>
      <c r="H56" s="243"/>
      <c r="I56" s="260"/>
      <c r="J56" s="288">
        <f t="shared" si="3"/>
        <v>0</v>
      </c>
      <c r="K56" s="289">
        <f>J56-H56</f>
        <v>0</v>
      </c>
      <c r="L56" s="290">
        <f t="shared" si="5"/>
        <v>0</v>
      </c>
    </row>
    <row r="57" spans="3:19" x14ac:dyDescent="0.25">
      <c r="C57" s="255"/>
      <c r="D57" s="256"/>
      <c r="E57" s="257"/>
      <c r="F57" s="257"/>
      <c r="G57" s="258"/>
      <c r="H57" s="243"/>
      <c r="I57" s="260"/>
      <c r="J57" s="288">
        <f t="shared" ref="J57:J120" si="24">IFERROR(IF(E57="Commercial",VLOOKUP(D57,$N$40:$P$46,3,FALSE),VLOOKUP(E57,$N$18:$P$24,3,FALSE)),0)</f>
        <v>0</v>
      </c>
      <c r="K57" s="289">
        <f t="shared" ref="K57:K120" si="25">J57-H57</f>
        <v>0</v>
      </c>
      <c r="L57" s="290">
        <f t="shared" si="5"/>
        <v>0</v>
      </c>
    </row>
    <row r="58" spans="3:19" x14ac:dyDescent="0.25">
      <c r="C58" s="255"/>
      <c r="D58" s="256"/>
      <c r="E58" s="257"/>
      <c r="F58" s="257"/>
      <c r="G58" s="258"/>
      <c r="H58" s="243"/>
      <c r="I58" s="260"/>
      <c r="J58" s="288">
        <f t="shared" si="24"/>
        <v>0</v>
      </c>
      <c r="K58" s="289">
        <f t="shared" si="25"/>
        <v>0</v>
      </c>
      <c r="L58" s="290">
        <f t="shared" si="5"/>
        <v>0</v>
      </c>
    </row>
    <row r="59" spans="3:19" x14ac:dyDescent="0.25">
      <c r="C59" s="255"/>
      <c r="D59" s="256"/>
      <c r="E59" s="257"/>
      <c r="F59" s="257"/>
      <c r="G59" s="258"/>
      <c r="H59" s="243"/>
      <c r="I59" s="260"/>
      <c r="J59" s="288">
        <f t="shared" si="24"/>
        <v>0</v>
      </c>
      <c r="K59" s="289">
        <f t="shared" si="25"/>
        <v>0</v>
      </c>
      <c r="L59" s="290">
        <f t="shared" si="5"/>
        <v>0</v>
      </c>
    </row>
    <row r="60" spans="3:19" x14ac:dyDescent="0.25">
      <c r="C60" s="255"/>
      <c r="D60" s="256"/>
      <c r="E60" s="257"/>
      <c r="F60" s="257"/>
      <c r="G60" s="258"/>
      <c r="H60" s="243"/>
      <c r="I60" s="260"/>
      <c r="J60" s="288">
        <f t="shared" si="24"/>
        <v>0</v>
      </c>
      <c r="K60" s="289">
        <f t="shared" si="25"/>
        <v>0</v>
      </c>
      <c r="L60" s="290">
        <f t="shared" si="5"/>
        <v>0</v>
      </c>
    </row>
    <row r="61" spans="3:19" x14ac:dyDescent="0.25">
      <c r="C61" s="255"/>
      <c r="D61" s="256"/>
      <c r="E61" s="257"/>
      <c r="F61" s="257"/>
      <c r="G61" s="258"/>
      <c r="H61" s="243"/>
      <c r="I61" s="260"/>
      <c r="J61" s="288">
        <f t="shared" si="24"/>
        <v>0</v>
      </c>
      <c r="K61" s="289">
        <f t="shared" si="25"/>
        <v>0</v>
      </c>
      <c r="L61" s="290">
        <f t="shared" si="5"/>
        <v>0</v>
      </c>
    </row>
    <row r="62" spans="3:19" x14ac:dyDescent="0.25">
      <c r="C62" s="255"/>
      <c r="D62" s="256"/>
      <c r="E62" s="257"/>
      <c r="F62" s="257"/>
      <c r="G62" s="258"/>
      <c r="H62" s="243"/>
      <c r="I62" s="260"/>
      <c r="J62" s="288">
        <f t="shared" si="24"/>
        <v>0</v>
      </c>
      <c r="K62" s="289">
        <f t="shared" si="25"/>
        <v>0</v>
      </c>
      <c r="L62" s="290">
        <f t="shared" si="5"/>
        <v>0</v>
      </c>
    </row>
    <row r="63" spans="3:19" x14ac:dyDescent="0.25">
      <c r="C63" s="255"/>
      <c r="D63" s="256"/>
      <c r="E63" s="257"/>
      <c r="F63" s="257"/>
      <c r="G63" s="258"/>
      <c r="H63" s="243"/>
      <c r="I63" s="260"/>
      <c r="J63" s="288">
        <f t="shared" si="24"/>
        <v>0</v>
      </c>
      <c r="K63" s="289">
        <f t="shared" si="25"/>
        <v>0</v>
      </c>
      <c r="L63" s="290">
        <f t="shared" si="5"/>
        <v>0</v>
      </c>
    </row>
    <row r="64" spans="3:19" x14ac:dyDescent="0.25">
      <c r="C64" s="255"/>
      <c r="D64" s="256"/>
      <c r="E64" s="257"/>
      <c r="F64" s="257"/>
      <c r="G64" s="258"/>
      <c r="H64" s="243"/>
      <c r="I64" s="260"/>
      <c r="J64" s="288">
        <f t="shared" si="24"/>
        <v>0</v>
      </c>
      <c r="K64" s="289">
        <f t="shared" si="25"/>
        <v>0</v>
      </c>
      <c r="L64" s="290">
        <f t="shared" si="5"/>
        <v>0</v>
      </c>
    </row>
    <row r="65" spans="3:12" x14ac:dyDescent="0.25">
      <c r="C65" s="255"/>
      <c r="D65" s="256"/>
      <c r="E65" s="257"/>
      <c r="F65" s="257"/>
      <c r="G65" s="258"/>
      <c r="H65" s="243"/>
      <c r="I65" s="260"/>
      <c r="J65" s="288">
        <f t="shared" si="24"/>
        <v>0</v>
      </c>
      <c r="K65" s="289">
        <f t="shared" si="25"/>
        <v>0</v>
      </c>
      <c r="L65" s="290">
        <f t="shared" si="5"/>
        <v>0</v>
      </c>
    </row>
    <row r="66" spans="3:12" x14ac:dyDescent="0.25">
      <c r="C66" s="255"/>
      <c r="D66" s="256"/>
      <c r="E66" s="257"/>
      <c r="F66" s="257"/>
      <c r="G66" s="258"/>
      <c r="H66" s="243"/>
      <c r="I66" s="260"/>
      <c r="J66" s="288">
        <f t="shared" si="24"/>
        <v>0</v>
      </c>
      <c r="K66" s="289">
        <f t="shared" si="25"/>
        <v>0</v>
      </c>
      <c r="L66" s="290">
        <f t="shared" si="5"/>
        <v>0</v>
      </c>
    </row>
    <row r="67" spans="3:12" x14ac:dyDescent="0.25">
      <c r="C67" s="255"/>
      <c r="D67" s="256"/>
      <c r="E67" s="257"/>
      <c r="F67" s="257"/>
      <c r="G67" s="258"/>
      <c r="H67" s="243"/>
      <c r="I67" s="260"/>
      <c r="J67" s="288">
        <f t="shared" si="24"/>
        <v>0</v>
      </c>
      <c r="K67" s="289">
        <f t="shared" si="25"/>
        <v>0</v>
      </c>
      <c r="L67" s="290">
        <f t="shared" si="5"/>
        <v>0</v>
      </c>
    </row>
    <row r="68" spans="3:12" x14ac:dyDescent="0.25">
      <c r="C68" s="255"/>
      <c r="D68" s="256"/>
      <c r="E68" s="257"/>
      <c r="F68" s="257"/>
      <c r="G68" s="258"/>
      <c r="H68" s="243"/>
      <c r="I68" s="260"/>
      <c r="J68" s="288">
        <f t="shared" si="24"/>
        <v>0</v>
      </c>
      <c r="K68" s="289">
        <f t="shared" si="25"/>
        <v>0</v>
      </c>
      <c r="L68" s="290">
        <f t="shared" si="5"/>
        <v>0</v>
      </c>
    </row>
    <row r="69" spans="3:12" x14ac:dyDescent="0.25">
      <c r="C69" s="255"/>
      <c r="D69" s="256"/>
      <c r="E69" s="257"/>
      <c r="F69" s="257"/>
      <c r="G69" s="258"/>
      <c r="H69" s="243"/>
      <c r="I69" s="260"/>
      <c r="J69" s="288">
        <f t="shared" si="24"/>
        <v>0</v>
      </c>
      <c r="K69" s="289">
        <f t="shared" si="25"/>
        <v>0</v>
      </c>
      <c r="L69" s="290">
        <f t="shared" si="5"/>
        <v>0</v>
      </c>
    </row>
    <row r="70" spans="3:12" x14ac:dyDescent="0.25">
      <c r="C70" s="255"/>
      <c r="D70" s="256"/>
      <c r="E70" s="257"/>
      <c r="F70" s="257"/>
      <c r="G70" s="258"/>
      <c r="H70" s="243"/>
      <c r="I70" s="260"/>
      <c r="J70" s="288">
        <f t="shared" si="24"/>
        <v>0</v>
      </c>
      <c r="K70" s="289">
        <f t="shared" si="25"/>
        <v>0</v>
      </c>
      <c r="L70" s="290">
        <f t="shared" si="5"/>
        <v>0</v>
      </c>
    </row>
    <row r="71" spans="3:12" x14ac:dyDescent="0.25">
      <c r="C71" s="255"/>
      <c r="D71" s="256"/>
      <c r="E71" s="257"/>
      <c r="F71" s="257"/>
      <c r="G71" s="258"/>
      <c r="H71" s="243"/>
      <c r="I71" s="260"/>
      <c r="J71" s="288">
        <f t="shared" si="24"/>
        <v>0</v>
      </c>
      <c r="K71" s="289">
        <f t="shared" si="25"/>
        <v>0</v>
      </c>
      <c r="L71" s="290">
        <f t="shared" si="5"/>
        <v>0</v>
      </c>
    </row>
    <row r="72" spans="3:12" x14ac:dyDescent="0.25">
      <c r="C72" s="255"/>
      <c r="D72" s="256"/>
      <c r="E72" s="257"/>
      <c r="F72" s="257"/>
      <c r="G72" s="258"/>
      <c r="H72" s="243"/>
      <c r="I72" s="260"/>
      <c r="J72" s="288">
        <f t="shared" si="24"/>
        <v>0</v>
      </c>
      <c r="K72" s="289">
        <f t="shared" si="25"/>
        <v>0</v>
      </c>
      <c r="L72" s="290">
        <f t="shared" si="5"/>
        <v>0</v>
      </c>
    </row>
    <row r="73" spans="3:12" x14ac:dyDescent="0.25">
      <c r="C73" s="255"/>
      <c r="D73" s="256"/>
      <c r="E73" s="257"/>
      <c r="F73" s="257"/>
      <c r="G73" s="258"/>
      <c r="H73" s="243"/>
      <c r="I73" s="260"/>
      <c r="J73" s="288">
        <f t="shared" si="24"/>
        <v>0</v>
      </c>
      <c r="K73" s="289">
        <f t="shared" si="25"/>
        <v>0</v>
      </c>
      <c r="L73" s="290">
        <f t="shared" ref="L73:L136" si="26">IFERROR(IF(J73&gt;0,K73/H73,0),0)</f>
        <v>0</v>
      </c>
    </row>
    <row r="74" spans="3:12" x14ac:dyDescent="0.25">
      <c r="C74" s="255"/>
      <c r="D74" s="256"/>
      <c r="E74" s="257"/>
      <c r="F74" s="257"/>
      <c r="G74" s="258"/>
      <c r="H74" s="243"/>
      <c r="I74" s="260"/>
      <c r="J74" s="288">
        <f t="shared" si="24"/>
        <v>0</v>
      </c>
      <c r="K74" s="289">
        <f t="shared" si="25"/>
        <v>0</v>
      </c>
      <c r="L74" s="290">
        <f t="shared" si="26"/>
        <v>0</v>
      </c>
    </row>
    <row r="75" spans="3:12" x14ac:dyDescent="0.25">
      <c r="C75" s="255"/>
      <c r="D75" s="256"/>
      <c r="E75" s="257"/>
      <c r="F75" s="257"/>
      <c r="G75" s="258"/>
      <c r="H75" s="243"/>
      <c r="I75" s="260"/>
      <c r="J75" s="288">
        <f t="shared" si="24"/>
        <v>0</v>
      </c>
      <c r="K75" s="289">
        <f t="shared" si="25"/>
        <v>0</v>
      </c>
      <c r="L75" s="290">
        <f t="shared" si="26"/>
        <v>0</v>
      </c>
    </row>
    <row r="76" spans="3:12" x14ac:dyDescent="0.25">
      <c r="C76" s="255"/>
      <c r="D76" s="256"/>
      <c r="E76" s="257"/>
      <c r="F76" s="257"/>
      <c r="G76" s="258"/>
      <c r="H76" s="243"/>
      <c r="I76" s="260"/>
      <c r="J76" s="288">
        <f t="shared" si="24"/>
        <v>0</v>
      </c>
      <c r="K76" s="289">
        <f t="shared" si="25"/>
        <v>0</v>
      </c>
      <c r="L76" s="290">
        <f t="shared" si="26"/>
        <v>0</v>
      </c>
    </row>
    <row r="77" spans="3:12" x14ac:dyDescent="0.25">
      <c r="C77" s="255"/>
      <c r="D77" s="256"/>
      <c r="E77" s="257"/>
      <c r="F77" s="257"/>
      <c r="G77" s="258"/>
      <c r="H77" s="243"/>
      <c r="I77" s="260"/>
      <c r="J77" s="288">
        <f t="shared" si="24"/>
        <v>0</v>
      </c>
      <c r="K77" s="289">
        <f t="shared" si="25"/>
        <v>0</v>
      </c>
      <c r="L77" s="290">
        <f t="shared" si="26"/>
        <v>0</v>
      </c>
    </row>
    <row r="78" spans="3:12" x14ac:dyDescent="0.25">
      <c r="C78" s="255"/>
      <c r="D78" s="256"/>
      <c r="E78" s="257"/>
      <c r="F78" s="257"/>
      <c r="G78" s="258"/>
      <c r="H78" s="243"/>
      <c r="I78" s="260"/>
      <c r="J78" s="288">
        <f t="shared" si="24"/>
        <v>0</v>
      </c>
      <c r="K78" s="289">
        <f t="shared" si="25"/>
        <v>0</v>
      </c>
      <c r="L78" s="290">
        <f t="shared" si="26"/>
        <v>0</v>
      </c>
    </row>
    <row r="79" spans="3:12" x14ac:dyDescent="0.25">
      <c r="C79" s="255"/>
      <c r="D79" s="256"/>
      <c r="E79" s="257"/>
      <c r="F79" s="257"/>
      <c r="G79" s="258"/>
      <c r="H79" s="243"/>
      <c r="I79" s="260"/>
      <c r="J79" s="288">
        <f t="shared" si="24"/>
        <v>0</v>
      </c>
      <c r="K79" s="289">
        <f t="shared" si="25"/>
        <v>0</v>
      </c>
      <c r="L79" s="290">
        <f t="shared" si="26"/>
        <v>0</v>
      </c>
    </row>
    <row r="80" spans="3:12" x14ac:dyDescent="0.25">
      <c r="C80" s="255"/>
      <c r="D80" s="256"/>
      <c r="E80" s="257"/>
      <c r="F80" s="257"/>
      <c r="G80" s="258"/>
      <c r="H80" s="243"/>
      <c r="I80" s="260"/>
      <c r="J80" s="288">
        <f t="shared" si="24"/>
        <v>0</v>
      </c>
      <c r="K80" s="289">
        <f t="shared" si="25"/>
        <v>0</v>
      </c>
      <c r="L80" s="290">
        <f t="shared" si="26"/>
        <v>0</v>
      </c>
    </row>
    <row r="81" spans="3:12" x14ac:dyDescent="0.25">
      <c r="C81" s="255"/>
      <c r="D81" s="256"/>
      <c r="E81" s="257"/>
      <c r="F81" s="257"/>
      <c r="G81" s="258"/>
      <c r="H81" s="243"/>
      <c r="I81" s="260"/>
      <c r="J81" s="288">
        <f t="shared" si="24"/>
        <v>0</v>
      </c>
      <c r="K81" s="289">
        <f t="shared" si="25"/>
        <v>0</v>
      </c>
      <c r="L81" s="290">
        <f t="shared" si="26"/>
        <v>0</v>
      </c>
    </row>
    <row r="82" spans="3:12" x14ac:dyDescent="0.25">
      <c r="C82" s="255"/>
      <c r="D82" s="256"/>
      <c r="E82" s="257"/>
      <c r="F82" s="257"/>
      <c r="G82" s="258"/>
      <c r="H82" s="243"/>
      <c r="I82" s="260"/>
      <c r="J82" s="288">
        <f t="shared" si="24"/>
        <v>0</v>
      </c>
      <c r="K82" s="289">
        <f t="shared" si="25"/>
        <v>0</v>
      </c>
      <c r="L82" s="290">
        <f t="shared" si="26"/>
        <v>0</v>
      </c>
    </row>
    <row r="83" spans="3:12" x14ac:dyDescent="0.25">
      <c r="C83" s="255"/>
      <c r="D83" s="256"/>
      <c r="E83" s="257"/>
      <c r="F83" s="257"/>
      <c r="G83" s="258"/>
      <c r="H83" s="243"/>
      <c r="I83" s="260"/>
      <c r="J83" s="288">
        <f t="shared" si="24"/>
        <v>0</v>
      </c>
      <c r="K83" s="289">
        <f t="shared" si="25"/>
        <v>0</v>
      </c>
      <c r="L83" s="290">
        <f t="shared" si="26"/>
        <v>0</v>
      </c>
    </row>
    <row r="84" spans="3:12" x14ac:dyDescent="0.25">
      <c r="C84" s="255"/>
      <c r="D84" s="256"/>
      <c r="E84" s="257"/>
      <c r="F84" s="257"/>
      <c r="G84" s="258"/>
      <c r="H84" s="243"/>
      <c r="I84" s="260"/>
      <c r="J84" s="288">
        <f t="shared" si="24"/>
        <v>0</v>
      </c>
      <c r="K84" s="289">
        <f t="shared" si="25"/>
        <v>0</v>
      </c>
      <c r="L84" s="290">
        <f t="shared" si="26"/>
        <v>0</v>
      </c>
    </row>
    <row r="85" spans="3:12" x14ac:dyDescent="0.25">
      <c r="C85" s="255"/>
      <c r="D85" s="256"/>
      <c r="E85" s="257"/>
      <c r="F85" s="257"/>
      <c r="G85" s="258"/>
      <c r="H85" s="243"/>
      <c r="I85" s="260"/>
      <c r="J85" s="288">
        <f t="shared" si="24"/>
        <v>0</v>
      </c>
      <c r="K85" s="289">
        <f t="shared" si="25"/>
        <v>0</v>
      </c>
      <c r="L85" s="290">
        <f t="shared" si="26"/>
        <v>0</v>
      </c>
    </row>
    <row r="86" spans="3:12" x14ac:dyDescent="0.25">
      <c r="C86" s="255"/>
      <c r="D86" s="256"/>
      <c r="E86" s="257"/>
      <c r="F86" s="257"/>
      <c r="G86" s="258"/>
      <c r="H86" s="243"/>
      <c r="I86" s="260"/>
      <c r="J86" s="288">
        <f t="shared" si="24"/>
        <v>0</v>
      </c>
      <c r="K86" s="289">
        <f t="shared" si="25"/>
        <v>0</v>
      </c>
      <c r="L86" s="290">
        <f t="shared" si="26"/>
        <v>0</v>
      </c>
    </row>
    <row r="87" spans="3:12" x14ac:dyDescent="0.25">
      <c r="C87" s="255"/>
      <c r="D87" s="256"/>
      <c r="E87" s="257"/>
      <c r="F87" s="257"/>
      <c r="G87" s="258"/>
      <c r="H87" s="243"/>
      <c r="I87" s="260"/>
      <c r="J87" s="288">
        <f t="shared" si="24"/>
        <v>0</v>
      </c>
      <c r="K87" s="289">
        <f t="shared" si="25"/>
        <v>0</v>
      </c>
      <c r="L87" s="290">
        <f t="shared" si="26"/>
        <v>0</v>
      </c>
    </row>
    <row r="88" spans="3:12" x14ac:dyDescent="0.25">
      <c r="C88" s="255"/>
      <c r="D88" s="256"/>
      <c r="E88" s="257"/>
      <c r="F88" s="257"/>
      <c r="G88" s="258"/>
      <c r="H88" s="243"/>
      <c r="I88" s="260"/>
      <c r="J88" s="288">
        <f t="shared" si="24"/>
        <v>0</v>
      </c>
      <c r="K88" s="289">
        <f t="shared" si="25"/>
        <v>0</v>
      </c>
      <c r="L88" s="290">
        <f t="shared" si="26"/>
        <v>0</v>
      </c>
    </row>
    <row r="89" spans="3:12" x14ac:dyDescent="0.25">
      <c r="C89" s="255"/>
      <c r="D89" s="256"/>
      <c r="E89" s="257"/>
      <c r="F89" s="257"/>
      <c r="G89" s="258"/>
      <c r="H89" s="243"/>
      <c r="I89" s="260"/>
      <c r="J89" s="288">
        <f t="shared" si="24"/>
        <v>0</v>
      </c>
      <c r="K89" s="289">
        <f t="shared" si="25"/>
        <v>0</v>
      </c>
      <c r="L89" s="290">
        <f t="shared" si="26"/>
        <v>0</v>
      </c>
    </row>
    <row r="90" spans="3:12" x14ac:dyDescent="0.25">
      <c r="C90" s="255"/>
      <c r="D90" s="256"/>
      <c r="E90" s="257"/>
      <c r="F90" s="257"/>
      <c r="G90" s="258"/>
      <c r="H90" s="243"/>
      <c r="I90" s="260"/>
      <c r="J90" s="288">
        <f t="shared" si="24"/>
        <v>0</v>
      </c>
      <c r="K90" s="289">
        <f t="shared" si="25"/>
        <v>0</v>
      </c>
      <c r="L90" s="290">
        <f t="shared" si="26"/>
        <v>0</v>
      </c>
    </row>
    <row r="91" spans="3:12" x14ac:dyDescent="0.25">
      <c r="C91" s="255"/>
      <c r="D91" s="256"/>
      <c r="E91" s="257"/>
      <c r="F91" s="257"/>
      <c r="G91" s="258"/>
      <c r="H91" s="243"/>
      <c r="I91" s="260"/>
      <c r="J91" s="288">
        <f t="shared" si="24"/>
        <v>0</v>
      </c>
      <c r="K91" s="289">
        <f t="shared" si="25"/>
        <v>0</v>
      </c>
      <c r="L91" s="290">
        <f t="shared" si="26"/>
        <v>0</v>
      </c>
    </row>
    <row r="92" spans="3:12" x14ac:dyDescent="0.25">
      <c r="C92" s="255"/>
      <c r="D92" s="256"/>
      <c r="E92" s="257"/>
      <c r="F92" s="257"/>
      <c r="G92" s="258"/>
      <c r="H92" s="243"/>
      <c r="I92" s="260"/>
      <c r="J92" s="288">
        <f t="shared" si="24"/>
        <v>0</v>
      </c>
      <c r="K92" s="289">
        <f t="shared" si="25"/>
        <v>0</v>
      </c>
      <c r="L92" s="290">
        <f t="shared" si="26"/>
        <v>0</v>
      </c>
    </row>
    <row r="93" spans="3:12" x14ac:dyDescent="0.25">
      <c r="C93" s="255"/>
      <c r="D93" s="256"/>
      <c r="E93" s="257"/>
      <c r="F93" s="257"/>
      <c r="G93" s="258"/>
      <c r="H93" s="243"/>
      <c r="I93" s="260"/>
      <c r="J93" s="288">
        <f t="shared" si="24"/>
        <v>0</v>
      </c>
      <c r="K93" s="289">
        <f t="shared" si="25"/>
        <v>0</v>
      </c>
      <c r="L93" s="290">
        <f t="shared" si="26"/>
        <v>0</v>
      </c>
    </row>
    <row r="94" spans="3:12" x14ac:dyDescent="0.25">
      <c r="C94" s="255"/>
      <c r="D94" s="256"/>
      <c r="E94" s="257"/>
      <c r="F94" s="257"/>
      <c r="G94" s="258"/>
      <c r="H94" s="243"/>
      <c r="I94" s="260"/>
      <c r="J94" s="288">
        <f t="shared" si="24"/>
        <v>0</v>
      </c>
      <c r="K94" s="289">
        <f t="shared" si="25"/>
        <v>0</v>
      </c>
      <c r="L94" s="290">
        <f t="shared" si="26"/>
        <v>0</v>
      </c>
    </row>
    <row r="95" spans="3:12" x14ac:dyDescent="0.25">
      <c r="C95" s="255"/>
      <c r="D95" s="256"/>
      <c r="E95" s="257"/>
      <c r="F95" s="257"/>
      <c r="G95" s="258"/>
      <c r="H95" s="243"/>
      <c r="I95" s="260"/>
      <c r="J95" s="288">
        <f t="shared" si="24"/>
        <v>0</v>
      </c>
      <c r="K95" s="289">
        <f t="shared" si="25"/>
        <v>0</v>
      </c>
      <c r="L95" s="290">
        <f t="shared" si="26"/>
        <v>0</v>
      </c>
    </row>
    <row r="96" spans="3:12" x14ac:dyDescent="0.25">
      <c r="C96" s="255"/>
      <c r="D96" s="256"/>
      <c r="E96" s="257"/>
      <c r="F96" s="257"/>
      <c r="G96" s="258"/>
      <c r="H96" s="243"/>
      <c r="I96" s="260"/>
      <c r="J96" s="288">
        <f t="shared" si="24"/>
        <v>0</v>
      </c>
      <c r="K96" s="289">
        <f t="shared" si="25"/>
        <v>0</v>
      </c>
      <c r="L96" s="290">
        <f t="shared" si="26"/>
        <v>0</v>
      </c>
    </row>
    <row r="97" spans="3:12" x14ac:dyDescent="0.25">
      <c r="C97" s="255"/>
      <c r="D97" s="256"/>
      <c r="E97" s="257"/>
      <c r="F97" s="257"/>
      <c r="G97" s="258"/>
      <c r="H97" s="243"/>
      <c r="I97" s="260"/>
      <c r="J97" s="288">
        <f t="shared" si="24"/>
        <v>0</v>
      </c>
      <c r="K97" s="289">
        <f t="shared" si="25"/>
        <v>0</v>
      </c>
      <c r="L97" s="290">
        <f t="shared" si="26"/>
        <v>0</v>
      </c>
    </row>
    <row r="98" spans="3:12" x14ac:dyDescent="0.25">
      <c r="C98" s="255"/>
      <c r="D98" s="256"/>
      <c r="E98" s="257"/>
      <c r="F98" s="257"/>
      <c r="G98" s="258"/>
      <c r="H98" s="243"/>
      <c r="I98" s="260"/>
      <c r="J98" s="288">
        <f t="shared" si="24"/>
        <v>0</v>
      </c>
      <c r="K98" s="289">
        <f t="shared" si="25"/>
        <v>0</v>
      </c>
      <c r="L98" s="290">
        <f t="shared" si="26"/>
        <v>0</v>
      </c>
    </row>
    <row r="99" spans="3:12" x14ac:dyDescent="0.25">
      <c r="C99" s="255"/>
      <c r="D99" s="256"/>
      <c r="E99" s="257"/>
      <c r="F99" s="257"/>
      <c r="G99" s="258"/>
      <c r="H99" s="243"/>
      <c r="I99" s="260"/>
      <c r="J99" s="288">
        <f t="shared" si="24"/>
        <v>0</v>
      </c>
      <c r="K99" s="289">
        <f t="shared" si="25"/>
        <v>0</v>
      </c>
      <c r="L99" s="290">
        <f t="shared" si="26"/>
        <v>0</v>
      </c>
    </row>
    <row r="100" spans="3:12" x14ac:dyDescent="0.25">
      <c r="C100" s="255"/>
      <c r="D100" s="256"/>
      <c r="E100" s="257"/>
      <c r="F100" s="257"/>
      <c r="G100" s="258"/>
      <c r="H100" s="243"/>
      <c r="I100" s="260"/>
      <c r="J100" s="288">
        <f t="shared" si="24"/>
        <v>0</v>
      </c>
      <c r="K100" s="289">
        <f t="shared" si="25"/>
        <v>0</v>
      </c>
      <c r="L100" s="290">
        <f t="shared" si="26"/>
        <v>0</v>
      </c>
    </row>
    <row r="101" spans="3:12" x14ac:dyDescent="0.25">
      <c r="C101" s="255"/>
      <c r="D101" s="256"/>
      <c r="E101" s="257"/>
      <c r="F101" s="257"/>
      <c r="G101" s="258"/>
      <c r="H101" s="243"/>
      <c r="I101" s="260"/>
      <c r="J101" s="288">
        <f t="shared" si="24"/>
        <v>0</v>
      </c>
      <c r="K101" s="289">
        <f t="shared" si="25"/>
        <v>0</v>
      </c>
      <c r="L101" s="290">
        <f t="shared" si="26"/>
        <v>0</v>
      </c>
    </row>
    <row r="102" spans="3:12" x14ac:dyDescent="0.25">
      <c r="C102" s="255"/>
      <c r="D102" s="256"/>
      <c r="E102" s="257"/>
      <c r="F102" s="257"/>
      <c r="G102" s="258"/>
      <c r="H102" s="243"/>
      <c r="I102" s="260"/>
      <c r="J102" s="288">
        <f t="shared" si="24"/>
        <v>0</v>
      </c>
      <c r="K102" s="289">
        <f t="shared" si="25"/>
        <v>0</v>
      </c>
      <c r="L102" s="290">
        <f t="shared" si="26"/>
        <v>0</v>
      </c>
    </row>
    <row r="103" spans="3:12" x14ac:dyDescent="0.25">
      <c r="C103" s="255"/>
      <c r="D103" s="256"/>
      <c r="E103" s="257"/>
      <c r="F103" s="257"/>
      <c r="G103" s="258"/>
      <c r="H103" s="243"/>
      <c r="I103" s="260"/>
      <c r="J103" s="288">
        <f t="shared" si="24"/>
        <v>0</v>
      </c>
      <c r="K103" s="289">
        <f t="shared" si="25"/>
        <v>0</v>
      </c>
      <c r="L103" s="290">
        <f t="shared" si="26"/>
        <v>0</v>
      </c>
    </row>
    <row r="104" spans="3:12" x14ac:dyDescent="0.25">
      <c r="C104" s="255"/>
      <c r="D104" s="256"/>
      <c r="E104" s="257"/>
      <c r="F104" s="257"/>
      <c r="G104" s="258"/>
      <c r="H104" s="243"/>
      <c r="I104" s="260"/>
      <c r="J104" s="288">
        <f t="shared" si="24"/>
        <v>0</v>
      </c>
      <c r="K104" s="289">
        <f t="shared" si="25"/>
        <v>0</v>
      </c>
      <c r="L104" s="290">
        <f t="shared" si="26"/>
        <v>0</v>
      </c>
    </row>
    <row r="105" spans="3:12" x14ac:dyDescent="0.25">
      <c r="C105" s="255"/>
      <c r="D105" s="256"/>
      <c r="E105" s="257"/>
      <c r="F105" s="257"/>
      <c r="G105" s="258"/>
      <c r="H105" s="243"/>
      <c r="I105" s="260"/>
      <c r="J105" s="288">
        <f t="shared" si="24"/>
        <v>0</v>
      </c>
      <c r="K105" s="289">
        <f t="shared" si="25"/>
        <v>0</v>
      </c>
      <c r="L105" s="290">
        <f t="shared" si="26"/>
        <v>0</v>
      </c>
    </row>
    <row r="106" spans="3:12" x14ac:dyDescent="0.25">
      <c r="C106" s="255"/>
      <c r="D106" s="256"/>
      <c r="E106" s="257"/>
      <c r="F106" s="257"/>
      <c r="G106" s="258"/>
      <c r="H106" s="243"/>
      <c r="I106" s="260"/>
      <c r="J106" s="288">
        <f t="shared" si="24"/>
        <v>0</v>
      </c>
      <c r="K106" s="289">
        <f t="shared" si="25"/>
        <v>0</v>
      </c>
      <c r="L106" s="290">
        <f t="shared" si="26"/>
        <v>0</v>
      </c>
    </row>
    <row r="107" spans="3:12" x14ac:dyDescent="0.25">
      <c r="C107" s="255"/>
      <c r="D107" s="256"/>
      <c r="E107" s="257"/>
      <c r="F107" s="257"/>
      <c r="G107" s="258"/>
      <c r="H107" s="243"/>
      <c r="I107" s="260"/>
      <c r="J107" s="288">
        <f t="shared" si="24"/>
        <v>0</v>
      </c>
      <c r="K107" s="289">
        <f t="shared" si="25"/>
        <v>0</v>
      </c>
      <c r="L107" s="290">
        <f t="shared" si="26"/>
        <v>0</v>
      </c>
    </row>
    <row r="108" spans="3:12" x14ac:dyDescent="0.25">
      <c r="C108" s="255"/>
      <c r="D108" s="256"/>
      <c r="E108" s="257"/>
      <c r="F108" s="257"/>
      <c r="G108" s="258"/>
      <c r="H108" s="243"/>
      <c r="I108" s="260"/>
      <c r="J108" s="288">
        <f t="shared" si="24"/>
        <v>0</v>
      </c>
      <c r="K108" s="289">
        <f t="shared" si="25"/>
        <v>0</v>
      </c>
      <c r="L108" s="290">
        <f t="shared" si="26"/>
        <v>0</v>
      </c>
    </row>
    <row r="109" spans="3:12" x14ac:dyDescent="0.25">
      <c r="C109" s="255"/>
      <c r="D109" s="256"/>
      <c r="E109" s="257"/>
      <c r="F109" s="257"/>
      <c r="G109" s="258"/>
      <c r="H109" s="243"/>
      <c r="I109" s="260"/>
      <c r="J109" s="288">
        <f t="shared" si="24"/>
        <v>0</v>
      </c>
      <c r="K109" s="289">
        <f t="shared" si="25"/>
        <v>0</v>
      </c>
      <c r="L109" s="290">
        <f t="shared" si="26"/>
        <v>0</v>
      </c>
    </row>
    <row r="110" spans="3:12" x14ac:dyDescent="0.25">
      <c r="C110" s="255"/>
      <c r="D110" s="256"/>
      <c r="E110" s="257"/>
      <c r="F110" s="257"/>
      <c r="G110" s="258"/>
      <c r="H110" s="243"/>
      <c r="I110" s="260"/>
      <c r="J110" s="288">
        <f t="shared" si="24"/>
        <v>0</v>
      </c>
      <c r="K110" s="289">
        <f t="shared" si="25"/>
        <v>0</v>
      </c>
      <c r="L110" s="290">
        <f t="shared" si="26"/>
        <v>0</v>
      </c>
    </row>
    <row r="111" spans="3:12" x14ac:dyDescent="0.25">
      <c r="C111" s="255"/>
      <c r="D111" s="256"/>
      <c r="E111" s="257"/>
      <c r="F111" s="257"/>
      <c r="G111" s="258"/>
      <c r="H111" s="243"/>
      <c r="I111" s="260"/>
      <c r="J111" s="288">
        <f t="shared" si="24"/>
        <v>0</v>
      </c>
      <c r="K111" s="289">
        <f t="shared" si="25"/>
        <v>0</v>
      </c>
      <c r="L111" s="290">
        <f t="shared" si="26"/>
        <v>0</v>
      </c>
    </row>
    <row r="112" spans="3:12" x14ac:dyDescent="0.25">
      <c r="C112" s="255"/>
      <c r="D112" s="256"/>
      <c r="E112" s="257"/>
      <c r="F112" s="257"/>
      <c r="G112" s="258"/>
      <c r="H112" s="243"/>
      <c r="I112" s="260"/>
      <c r="J112" s="288">
        <f t="shared" si="24"/>
        <v>0</v>
      </c>
      <c r="K112" s="289">
        <f t="shared" si="25"/>
        <v>0</v>
      </c>
      <c r="L112" s="290">
        <f t="shared" si="26"/>
        <v>0</v>
      </c>
    </row>
    <row r="113" spans="3:12" x14ac:dyDescent="0.25">
      <c r="C113" s="255"/>
      <c r="D113" s="256"/>
      <c r="E113" s="257"/>
      <c r="F113" s="257"/>
      <c r="G113" s="258"/>
      <c r="H113" s="243"/>
      <c r="I113" s="260"/>
      <c r="J113" s="288">
        <f t="shared" si="24"/>
        <v>0</v>
      </c>
      <c r="K113" s="289">
        <f t="shared" si="25"/>
        <v>0</v>
      </c>
      <c r="L113" s="290">
        <f t="shared" si="26"/>
        <v>0</v>
      </c>
    </row>
    <row r="114" spans="3:12" x14ac:dyDescent="0.25">
      <c r="C114" s="255"/>
      <c r="D114" s="256"/>
      <c r="E114" s="257"/>
      <c r="F114" s="257"/>
      <c r="G114" s="258"/>
      <c r="H114" s="243"/>
      <c r="I114" s="260"/>
      <c r="J114" s="288">
        <f t="shared" si="24"/>
        <v>0</v>
      </c>
      <c r="K114" s="289">
        <f t="shared" si="25"/>
        <v>0</v>
      </c>
      <c r="L114" s="290">
        <f t="shared" si="26"/>
        <v>0</v>
      </c>
    </row>
    <row r="115" spans="3:12" x14ac:dyDescent="0.25">
      <c r="C115" s="255"/>
      <c r="D115" s="256"/>
      <c r="E115" s="257"/>
      <c r="F115" s="257"/>
      <c r="G115" s="258"/>
      <c r="H115" s="243"/>
      <c r="I115" s="260"/>
      <c r="J115" s="288">
        <f t="shared" si="24"/>
        <v>0</v>
      </c>
      <c r="K115" s="289">
        <f t="shared" si="25"/>
        <v>0</v>
      </c>
      <c r="L115" s="290">
        <f t="shared" si="26"/>
        <v>0</v>
      </c>
    </row>
    <row r="116" spans="3:12" x14ac:dyDescent="0.25">
      <c r="C116" s="255"/>
      <c r="D116" s="256"/>
      <c r="E116" s="257"/>
      <c r="F116" s="257"/>
      <c r="G116" s="258"/>
      <c r="H116" s="243"/>
      <c r="I116" s="260"/>
      <c r="J116" s="288">
        <f t="shared" si="24"/>
        <v>0</v>
      </c>
      <c r="K116" s="289">
        <f t="shared" si="25"/>
        <v>0</v>
      </c>
      <c r="L116" s="290">
        <f t="shared" si="26"/>
        <v>0</v>
      </c>
    </row>
    <row r="117" spans="3:12" x14ac:dyDescent="0.25">
      <c r="C117" s="255"/>
      <c r="D117" s="256"/>
      <c r="E117" s="257"/>
      <c r="F117" s="257"/>
      <c r="G117" s="258"/>
      <c r="H117" s="243"/>
      <c r="I117" s="260"/>
      <c r="J117" s="288">
        <f t="shared" si="24"/>
        <v>0</v>
      </c>
      <c r="K117" s="289">
        <f t="shared" si="25"/>
        <v>0</v>
      </c>
      <c r="L117" s="290">
        <f t="shared" si="26"/>
        <v>0</v>
      </c>
    </row>
    <row r="118" spans="3:12" x14ac:dyDescent="0.25">
      <c r="C118" s="255"/>
      <c r="D118" s="256"/>
      <c r="E118" s="257"/>
      <c r="F118" s="257"/>
      <c r="G118" s="258"/>
      <c r="H118" s="243"/>
      <c r="I118" s="260"/>
      <c r="J118" s="288">
        <f t="shared" si="24"/>
        <v>0</v>
      </c>
      <c r="K118" s="289">
        <f t="shared" si="25"/>
        <v>0</v>
      </c>
      <c r="L118" s="290">
        <f t="shared" si="26"/>
        <v>0</v>
      </c>
    </row>
    <row r="119" spans="3:12" x14ac:dyDescent="0.25">
      <c r="C119" s="255"/>
      <c r="D119" s="256"/>
      <c r="E119" s="257"/>
      <c r="F119" s="257"/>
      <c r="G119" s="258"/>
      <c r="H119" s="243"/>
      <c r="I119" s="260"/>
      <c r="J119" s="288">
        <f t="shared" si="24"/>
        <v>0</v>
      </c>
      <c r="K119" s="289">
        <f t="shared" si="25"/>
        <v>0</v>
      </c>
      <c r="L119" s="290">
        <f t="shared" si="26"/>
        <v>0</v>
      </c>
    </row>
    <row r="120" spans="3:12" x14ac:dyDescent="0.25">
      <c r="C120" s="255"/>
      <c r="D120" s="256"/>
      <c r="E120" s="257"/>
      <c r="F120" s="257"/>
      <c r="G120" s="258"/>
      <c r="H120" s="243"/>
      <c r="I120" s="260"/>
      <c r="J120" s="288">
        <f t="shared" si="24"/>
        <v>0</v>
      </c>
      <c r="K120" s="289">
        <f t="shared" si="25"/>
        <v>0</v>
      </c>
      <c r="L120" s="290">
        <f t="shared" si="26"/>
        <v>0</v>
      </c>
    </row>
    <row r="121" spans="3:12" x14ac:dyDescent="0.25">
      <c r="C121" s="255"/>
      <c r="D121" s="256"/>
      <c r="E121" s="257"/>
      <c r="F121" s="257"/>
      <c r="G121" s="258"/>
      <c r="H121" s="243"/>
      <c r="I121" s="260"/>
      <c r="J121" s="288">
        <f t="shared" ref="J121:J184" si="27">IFERROR(IF(E121="Commercial",VLOOKUP(D121,$N$40:$P$46,3,FALSE),VLOOKUP(E121,$N$18:$P$24,3,FALSE)),0)</f>
        <v>0</v>
      </c>
      <c r="K121" s="289">
        <f t="shared" ref="K121:K184" si="28">J121-H121</f>
        <v>0</v>
      </c>
      <c r="L121" s="290">
        <f t="shared" si="26"/>
        <v>0</v>
      </c>
    </row>
    <row r="122" spans="3:12" x14ac:dyDescent="0.25">
      <c r="C122" s="255"/>
      <c r="D122" s="256"/>
      <c r="E122" s="257"/>
      <c r="F122" s="257"/>
      <c r="G122" s="258"/>
      <c r="H122" s="243"/>
      <c r="I122" s="260"/>
      <c r="J122" s="288">
        <f t="shared" si="27"/>
        <v>0</v>
      </c>
      <c r="K122" s="289">
        <f t="shared" si="28"/>
        <v>0</v>
      </c>
      <c r="L122" s="290">
        <f t="shared" si="26"/>
        <v>0</v>
      </c>
    </row>
    <row r="123" spans="3:12" x14ac:dyDescent="0.25">
      <c r="C123" s="255"/>
      <c r="D123" s="256"/>
      <c r="E123" s="257"/>
      <c r="F123" s="257"/>
      <c r="G123" s="258"/>
      <c r="H123" s="243"/>
      <c r="I123" s="260"/>
      <c r="J123" s="288">
        <f t="shared" si="27"/>
        <v>0</v>
      </c>
      <c r="K123" s="289">
        <f t="shared" si="28"/>
        <v>0</v>
      </c>
      <c r="L123" s="290">
        <f t="shared" si="26"/>
        <v>0</v>
      </c>
    </row>
    <row r="124" spans="3:12" x14ac:dyDescent="0.25">
      <c r="C124" s="255"/>
      <c r="D124" s="256"/>
      <c r="E124" s="257"/>
      <c r="F124" s="257"/>
      <c r="G124" s="258"/>
      <c r="H124" s="243"/>
      <c r="I124" s="260"/>
      <c r="J124" s="288">
        <f t="shared" si="27"/>
        <v>0</v>
      </c>
      <c r="K124" s="289">
        <f t="shared" si="28"/>
        <v>0</v>
      </c>
      <c r="L124" s="290">
        <f t="shared" si="26"/>
        <v>0</v>
      </c>
    </row>
    <row r="125" spans="3:12" x14ac:dyDescent="0.25">
      <c r="C125" s="255"/>
      <c r="D125" s="256"/>
      <c r="E125" s="257"/>
      <c r="F125" s="257"/>
      <c r="G125" s="258"/>
      <c r="H125" s="243"/>
      <c r="I125" s="260"/>
      <c r="J125" s="288">
        <f t="shared" si="27"/>
        <v>0</v>
      </c>
      <c r="K125" s="289">
        <f t="shared" si="28"/>
        <v>0</v>
      </c>
      <c r="L125" s="290">
        <f t="shared" si="26"/>
        <v>0</v>
      </c>
    </row>
    <row r="126" spans="3:12" x14ac:dyDescent="0.25">
      <c r="C126" s="255"/>
      <c r="D126" s="256"/>
      <c r="E126" s="257"/>
      <c r="F126" s="257"/>
      <c r="G126" s="258"/>
      <c r="H126" s="243"/>
      <c r="I126" s="260"/>
      <c r="J126" s="288">
        <f t="shared" si="27"/>
        <v>0</v>
      </c>
      <c r="K126" s="289">
        <f t="shared" si="28"/>
        <v>0</v>
      </c>
      <c r="L126" s="290">
        <f t="shared" si="26"/>
        <v>0</v>
      </c>
    </row>
    <row r="127" spans="3:12" x14ac:dyDescent="0.25">
      <c r="C127" s="255"/>
      <c r="D127" s="256"/>
      <c r="E127" s="257"/>
      <c r="F127" s="257"/>
      <c r="G127" s="258"/>
      <c r="H127" s="243"/>
      <c r="I127" s="260"/>
      <c r="J127" s="288">
        <f t="shared" si="27"/>
        <v>0</v>
      </c>
      <c r="K127" s="289">
        <f t="shared" si="28"/>
        <v>0</v>
      </c>
      <c r="L127" s="290">
        <f t="shared" si="26"/>
        <v>0</v>
      </c>
    </row>
    <row r="128" spans="3:12" x14ac:dyDescent="0.25">
      <c r="C128" s="255"/>
      <c r="D128" s="256"/>
      <c r="E128" s="257"/>
      <c r="F128" s="257"/>
      <c r="G128" s="258"/>
      <c r="H128" s="243"/>
      <c r="I128" s="260"/>
      <c r="J128" s="288">
        <f t="shared" si="27"/>
        <v>0</v>
      </c>
      <c r="K128" s="289">
        <f t="shared" si="28"/>
        <v>0</v>
      </c>
      <c r="L128" s="290">
        <f t="shared" si="26"/>
        <v>0</v>
      </c>
    </row>
    <row r="129" spans="3:12" x14ac:dyDescent="0.25">
      <c r="C129" s="255"/>
      <c r="D129" s="256"/>
      <c r="E129" s="257"/>
      <c r="F129" s="257"/>
      <c r="G129" s="258"/>
      <c r="H129" s="243"/>
      <c r="I129" s="260"/>
      <c r="J129" s="288">
        <f t="shared" si="27"/>
        <v>0</v>
      </c>
      <c r="K129" s="289">
        <f t="shared" si="28"/>
        <v>0</v>
      </c>
      <c r="L129" s="290">
        <f t="shared" si="26"/>
        <v>0</v>
      </c>
    </row>
    <row r="130" spans="3:12" x14ac:dyDescent="0.25">
      <c r="C130" s="255"/>
      <c r="D130" s="256"/>
      <c r="E130" s="257"/>
      <c r="F130" s="257"/>
      <c r="G130" s="258"/>
      <c r="H130" s="243"/>
      <c r="I130" s="260"/>
      <c r="J130" s="288">
        <f t="shared" si="27"/>
        <v>0</v>
      </c>
      <c r="K130" s="289">
        <f t="shared" si="28"/>
        <v>0</v>
      </c>
      <c r="L130" s="290">
        <f t="shared" si="26"/>
        <v>0</v>
      </c>
    </row>
    <row r="131" spans="3:12" x14ac:dyDescent="0.25">
      <c r="C131" s="255"/>
      <c r="D131" s="256"/>
      <c r="E131" s="257"/>
      <c r="F131" s="257"/>
      <c r="G131" s="258"/>
      <c r="H131" s="243"/>
      <c r="I131" s="260"/>
      <c r="J131" s="288">
        <f t="shared" si="27"/>
        <v>0</v>
      </c>
      <c r="K131" s="289">
        <f t="shared" si="28"/>
        <v>0</v>
      </c>
      <c r="L131" s="290">
        <f t="shared" si="26"/>
        <v>0</v>
      </c>
    </row>
    <row r="132" spans="3:12" x14ac:dyDescent="0.25">
      <c r="C132" s="255"/>
      <c r="D132" s="256"/>
      <c r="E132" s="257"/>
      <c r="F132" s="257"/>
      <c r="G132" s="258"/>
      <c r="H132" s="243"/>
      <c r="I132" s="260"/>
      <c r="J132" s="288">
        <f t="shared" si="27"/>
        <v>0</v>
      </c>
      <c r="K132" s="289">
        <f t="shared" si="28"/>
        <v>0</v>
      </c>
      <c r="L132" s="290">
        <f t="shared" si="26"/>
        <v>0</v>
      </c>
    </row>
    <row r="133" spans="3:12" x14ac:dyDescent="0.25">
      <c r="C133" s="255"/>
      <c r="D133" s="256"/>
      <c r="E133" s="257"/>
      <c r="F133" s="257"/>
      <c r="G133" s="258"/>
      <c r="H133" s="243"/>
      <c r="I133" s="260"/>
      <c r="J133" s="288">
        <f t="shared" si="27"/>
        <v>0</v>
      </c>
      <c r="K133" s="289">
        <f t="shared" si="28"/>
        <v>0</v>
      </c>
      <c r="L133" s="290">
        <f t="shared" si="26"/>
        <v>0</v>
      </c>
    </row>
    <row r="134" spans="3:12" x14ac:dyDescent="0.25">
      <c r="C134" s="255"/>
      <c r="D134" s="256"/>
      <c r="E134" s="257"/>
      <c r="F134" s="257"/>
      <c r="G134" s="258"/>
      <c r="H134" s="243"/>
      <c r="I134" s="260"/>
      <c r="J134" s="288">
        <f t="shared" si="27"/>
        <v>0</v>
      </c>
      <c r="K134" s="289">
        <f t="shared" si="28"/>
        <v>0</v>
      </c>
      <c r="L134" s="290">
        <f t="shared" si="26"/>
        <v>0</v>
      </c>
    </row>
    <row r="135" spans="3:12" x14ac:dyDescent="0.25">
      <c r="C135" s="255"/>
      <c r="D135" s="256"/>
      <c r="E135" s="257"/>
      <c r="F135" s="257"/>
      <c r="G135" s="258"/>
      <c r="H135" s="243"/>
      <c r="I135" s="260"/>
      <c r="J135" s="288">
        <f t="shared" si="27"/>
        <v>0</v>
      </c>
      <c r="K135" s="289">
        <f t="shared" si="28"/>
        <v>0</v>
      </c>
      <c r="L135" s="290">
        <f t="shared" si="26"/>
        <v>0</v>
      </c>
    </row>
    <row r="136" spans="3:12" x14ac:dyDescent="0.25">
      <c r="C136" s="255"/>
      <c r="D136" s="256"/>
      <c r="E136" s="257"/>
      <c r="F136" s="257"/>
      <c r="G136" s="258"/>
      <c r="H136" s="243"/>
      <c r="I136" s="260"/>
      <c r="J136" s="288">
        <f t="shared" si="27"/>
        <v>0</v>
      </c>
      <c r="K136" s="289">
        <f t="shared" si="28"/>
        <v>0</v>
      </c>
      <c r="L136" s="290">
        <f t="shared" si="26"/>
        <v>0</v>
      </c>
    </row>
    <row r="137" spans="3:12" x14ac:dyDescent="0.25">
      <c r="C137" s="255"/>
      <c r="D137" s="256"/>
      <c r="E137" s="257"/>
      <c r="F137" s="257"/>
      <c r="G137" s="258"/>
      <c r="H137" s="243"/>
      <c r="I137" s="260"/>
      <c r="J137" s="288">
        <f t="shared" si="27"/>
        <v>0</v>
      </c>
      <c r="K137" s="289">
        <f t="shared" si="28"/>
        <v>0</v>
      </c>
      <c r="L137" s="290">
        <f t="shared" ref="L137:L200" si="29">IFERROR(IF(J137&gt;0,K137/H137,0),0)</f>
        <v>0</v>
      </c>
    </row>
    <row r="138" spans="3:12" x14ac:dyDescent="0.25">
      <c r="C138" s="255"/>
      <c r="D138" s="256"/>
      <c r="E138" s="257"/>
      <c r="F138" s="257"/>
      <c r="G138" s="258"/>
      <c r="H138" s="243"/>
      <c r="I138" s="260"/>
      <c r="J138" s="288">
        <f t="shared" si="27"/>
        <v>0</v>
      </c>
      <c r="K138" s="289">
        <f t="shared" si="28"/>
        <v>0</v>
      </c>
      <c r="L138" s="290">
        <f t="shared" si="29"/>
        <v>0</v>
      </c>
    </row>
    <row r="139" spans="3:12" x14ac:dyDescent="0.25">
      <c r="C139" s="255"/>
      <c r="D139" s="256"/>
      <c r="E139" s="257"/>
      <c r="F139" s="257"/>
      <c r="G139" s="258"/>
      <c r="H139" s="243"/>
      <c r="I139" s="260"/>
      <c r="J139" s="288">
        <f t="shared" si="27"/>
        <v>0</v>
      </c>
      <c r="K139" s="289">
        <f t="shared" si="28"/>
        <v>0</v>
      </c>
      <c r="L139" s="290">
        <f t="shared" si="29"/>
        <v>0</v>
      </c>
    </row>
    <row r="140" spans="3:12" x14ac:dyDescent="0.25">
      <c r="C140" s="255"/>
      <c r="D140" s="256"/>
      <c r="E140" s="257"/>
      <c r="F140" s="257"/>
      <c r="G140" s="258"/>
      <c r="H140" s="243"/>
      <c r="I140" s="260"/>
      <c r="J140" s="288">
        <f t="shared" si="27"/>
        <v>0</v>
      </c>
      <c r="K140" s="289">
        <f t="shared" si="28"/>
        <v>0</v>
      </c>
      <c r="L140" s="290">
        <f t="shared" si="29"/>
        <v>0</v>
      </c>
    </row>
    <row r="141" spans="3:12" x14ac:dyDescent="0.25">
      <c r="C141" s="255"/>
      <c r="D141" s="256"/>
      <c r="E141" s="257"/>
      <c r="F141" s="257"/>
      <c r="G141" s="258"/>
      <c r="H141" s="243"/>
      <c r="I141" s="260"/>
      <c r="J141" s="288">
        <f t="shared" si="27"/>
        <v>0</v>
      </c>
      <c r="K141" s="289">
        <f t="shared" si="28"/>
        <v>0</v>
      </c>
      <c r="L141" s="290">
        <f t="shared" si="29"/>
        <v>0</v>
      </c>
    </row>
    <row r="142" spans="3:12" x14ac:dyDescent="0.25">
      <c r="C142" s="255"/>
      <c r="D142" s="256"/>
      <c r="E142" s="257"/>
      <c r="F142" s="257"/>
      <c r="G142" s="258"/>
      <c r="H142" s="243"/>
      <c r="I142" s="260"/>
      <c r="J142" s="288">
        <f t="shared" si="27"/>
        <v>0</v>
      </c>
      <c r="K142" s="289">
        <f t="shared" si="28"/>
        <v>0</v>
      </c>
      <c r="L142" s="290">
        <f t="shared" si="29"/>
        <v>0</v>
      </c>
    </row>
    <row r="143" spans="3:12" x14ac:dyDescent="0.25">
      <c r="C143" s="255"/>
      <c r="D143" s="256"/>
      <c r="E143" s="257"/>
      <c r="F143" s="257"/>
      <c r="G143" s="258"/>
      <c r="H143" s="243"/>
      <c r="I143" s="260"/>
      <c r="J143" s="288">
        <f t="shared" si="27"/>
        <v>0</v>
      </c>
      <c r="K143" s="289">
        <f t="shared" si="28"/>
        <v>0</v>
      </c>
      <c r="L143" s="290">
        <f t="shared" si="29"/>
        <v>0</v>
      </c>
    </row>
    <row r="144" spans="3:12" x14ac:dyDescent="0.25">
      <c r="C144" s="255"/>
      <c r="D144" s="256"/>
      <c r="E144" s="257"/>
      <c r="F144" s="257"/>
      <c r="G144" s="258"/>
      <c r="H144" s="243"/>
      <c r="I144" s="260"/>
      <c r="J144" s="288">
        <f t="shared" si="27"/>
        <v>0</v>
      </c>
      <c r="K144" s="289">
        <f t="shared" si="28"/>
        <v>0</v>
      </c>
      <c r="L144" s="290">
        <f t="shared" si="29"/>
        <v>0</v>
      </c>
    </row>
    <row r="145" spans="3:12" x14ac:dyDescent="0.25">
      <c r="C145" s="255"/>
      <c r="D145" s="256"/>
      <c r="E145" s="257"/>
      <c r="F145" s="257"/>
      <c r="G145" s="258"/>
      <c r="H145" s="243"/>
      <c r="I145" s="260"/>
      <c r="J145" s="288">
        <f t="shared" si="27"/>
        <v>0</v>
      </c>
      <c r="K145" s="289">
        <f t="shared" si="28"/>
        <v>0</v>
      </c>
      <c r="L145" s="290">
        <f t="shared" si="29"/>
        <v>0</v>
      </c>
    </row>
    <row r="146" spans="3:12" x14ac:dyDescent="0.25">
      <c r="C146" s="255"/>
      <c r="D146" s="256"/>
      <c r="E146" s="257"/>
      <c r="F146" s="257"/>
      <c r="G146" s="258"/>
      <c r="H146" s="243"/>
      <c r="I146" s="260"/>
      <c r="J146" s="288">
        <f t="shared" si="27"/>
        <v>0</v>
      </c>
      <c r="K146" s="289">
        <f t="shared" si="28"/>
        <v>0</v>
      </c>
      <c r="L146" s="290">
        <f t="shared" si="29"/>
        <v>0</v>
      </c>
    </row>
    <row r="147" spans="3:12" x14ac:dyDescent="0.25">
      <c r="C147" s="255"/>
      <c r="D147" s="256"/>
      <c r="E147" s="257"/>
      <c r="F147" s="257"/>
      <c r="G147" s="258"/>
      <c r="H147" s="243"/>
      <c r="I147" s="260"/>
      <c r="J147" s="288">
        <f t="shared" si="27"/>
        <v>0</v>
      </c>
      <c r="K147" s="289">
        <f t="shared" si="28"/>
        <v>0</v>
      </c>
      <c r="L147" s="290">
        <f t="shared" si="29"/>
        <v>0</v>
      </c>
    </row>
    <row r="148" spans="3:12" x14ac:dyDescent="0.25">
      <c r="C148" s="255"/>
      <c r="D148" s="256"/>
      <c r="E148" s="257"/>
      <c r="F148" s="257"/>
      <c r="G148" s="258"/>
      <c r="H148" s="243"/>
      <c r="I148" s="260"/>
      <c r="J148" s="288">
        <f t="shared" si="27"/>
        <v>0</v>
      </c>
      <c r="K148" s="289">
        <f t="shared" si="28"/>
        <v>0</v>
      </c>
      <c r="L148" s="290">
        <f t="shared" si="29"/>
        <v>0</v>
      </c>
    </row>
    <row r="149" spans="3:12" x14ac:dyDescent="0.25">
      <c r="C149" s="255"/>
      <c r="D149" s="256"/>
      <c r="E149" s="257"/>
      <c r="F149" s="257"/>
      <c r="G149" s="258"/>
      <c r="H149" s="243"/>
      <c r="I149" s="260"/>
      <c r="J149" s="288">
        <f t="shared" si="27"/>
        <v>0</v>
      </c>
      <c r="K149" s="289">
        <f t="shared" si="28"/>
        <v>0</v>
      </c>
      <c r="L149" s="290">
        <f t="shared" si="29"/>
        <v>0</v>
      </c>
    </row>
    <row r="150" spans="3:12" x14ac:dyDescent="0.25">
      <c r="C150" s="255"/>
      <c r="D150" s="256"/>
      <c r="E150" s="257"/>
      <c r="F150" s="257"/>
      <c r="G150" s="258"/>
      <c r="H150" s="243"/>
      <c r="I150" s="260"/>
      <c r="J150" s="288">
        <f t="shared" si="27"/>
        <v>0</v>
      </c>
      <c r="K150" s="289">
        <f t="shared" si="28"/>
        <v>0</v>
      </c>
      <c r="L150" s="290">
        <f t="shared" si="29"/>
        <v>0</v>
      </c>
    </row>
    <row r="151" spans="3:12" x14ac:dyDescent="0.25">
      <c r="C151" s="255"/>
      <c r="D151" s="256"/>
      <c r="E151" s="257"/>
      <c r="F151" s="257"/>
      <c r="G151" s="258"/>
      <c r="H151" s="243"/>
      <c r="I151" s="260"/>
      <c r="J151" s="288">
        <f t="shared" si="27"/>
        <v>0</v>
      </c>
      <c r="K151" s="289">
        <f t="shared" si="28"/>
        <v>0</v>
      </c>
      <c r="L151" s="290">
        <f t="shared" si="29"/>
        <v>0</v>
      </c>
    </row>
    <row r="152" spans="3:12" x14ac:dyDescent="0.25">
      <c r="C152" s="255"/>
      <c r="D152" s="256"/>
      <c r="E152" s="257"/>
      <c r="F152" s="257"/>
      <c r="G152" s="258"/>
      <c r="H152" s="243"/>
      <c r="I152" s="260"/>
      <c r="J152" s="288">
        <f t="shared" si="27"/>
        <v>0</v>
      </c>
      <c r="K152" s="289">
        <f t="shared" si="28"/>
        <v>0</v>
      </c>
      <c r="L152" s="290">
        <f t="shared" si="29"/>
        <v>0</v>
      </c>
    </row>
    <row r="153" spans="3:12" x14ac:dyDescent="0.25">
      <c r="C153" s="255"/>
      <c r="D153" s="256"/>
      <c r="E153" s="257"/>
      <c r="F153" s="257"/>
      <c r="G153" s="258"/>
      <c r="H153" s="243"/>
      <c r="I153" s="260"/>
      <c r="J153" s="288">
        <f t="shared" si="27"/>
        <v>0</v>
      </c>
      <c r="K153" s="289">
        <f t="shared" si="28"/>
        <v>0</v>
      </c>
      <c r="L153" s="290">
        <f t="shared" si="29"/>
        <v>0</v>
      </c>
    </row>
    <row r="154" spans="3:12" x14ac:dyDescent="0.25">
      <c r="C154" s="255"/>
      <c r="D154" s="256"/>
      <c r="E154" s="257"/>
      <c r="F154" s="257"/>
      <c r="G154" s="258"/>
      <c r="H154" s="243"/>
      <c r="I154" s="260"/>
      <c r="J154" s="288">
        <f t="shared" si="27"/>
        <v>0</v>
      </c>
      <c r="K154" s="289">
        <f t="shared" si="28"/>
        <v>0</v>
      </c>
      <c r="L154" s="290">
        <f t="shared" si="29"/>
        <v>0</v>
      </c>
    </row>
    <row r="155" spans="3:12" x14ac:dyDescent="0.25">
      <c r="C155" s="255"/>
      <c r="D155" s="256"/>
      <c r="E155" s="257"/>
      <c r="F155" s="257"/>
      <c r="G155" s="258"/>
      <c r="H155" s="243"/>
      <c r="I155" s="260"/>
      <c r="J155" s="288">
        <f t="shared" si="27"/>
        <v>0</v>
      </c>
      <c r="K155" s="289">
        <f t="shared" si="28"/>
        <v>0</v>
      </c>
      <c r="L155" s="290">
        <f t="shared" si="29"/>
        <v>0</v>
      </c>
    </row>
    <row r="156" spans="3:12" x14ac:dyDescent="0.25">
      <c r="C156" s="255"/>
      <c r="D156" s="256"/>
      <c r="E156" s="257"/>
      <c r="F156" s="257"/>
      <c r="G156" s="258"/>
      <c r="H156" s="243"/>
      <c r="I156" s="260"/>
      <c r="J156" s="288">
        <f t="shared" si="27"/>
        <v>0</v>
      </c>
      <c r="K156" s="289">
        <f t="shared" si="28"/>
        <v>0</v>
      </c>
      <c r="L156" s="290">
        <f t="shared" si="29"/>
        <v>0</v>
      </c>
    </row>
    <row r="157" spans="3:12" x14ac:dyDescent="0.25">
      <c r="C157" s="255"/>
      <c r="D157" s="256"/>
      <c r="E157" s="257"/>
      <c r="F157" s="257"/>
      <c r="G157" s="258"/>
      <c r="H157" s="243"/>
      <c r="I157" s="260"/>
      <c r="J157" s="288">
        <f t="shared" si="27"/>
        <v>0</v>
      </c>
      <c r="K157" s="289">
        <f t="shared" si="28"/>
        <v>0</v>
      </c>
      <c r="L157" s="290">
        <f t="shared" si="29"/>
        <v>0</v>
      </c>
    </row>
    <row r="158" spans="3:12" x14ac:dyDescent="0.25">
      <c r="C158" s="255"/>
      <c r="D158" s="256"/>
      <c r="E158" s="257"/>
      <c r="F158" s="257"/>
      <c r="G158" s="258"/>
      <c r="H158" s="243"/>
      <c r="I158" s="260"/>
      <c r="J158" s="288">
        <f t="shared" si="27"/>
        <v>0</v>
      </c>
      <c r="K158" s="289">
        <f t="shared" si="28"/>
        <v>0</v>
      </c>
      <c r="L158" s="290">
        <f t="shared" si="29"/>
        <v>0</v>
      </c>
    </row>
    <row r="159" spans="3:12" x14ac:dyDescent="0.25">
      <c r="C159" s="255"/>
      <c r="D159" s="256"/>
      <c r="E159" s="257"/>
      <c r="F159" s="257"/>
      <c r="G159" s="258"/>
      <c r="H159" s="243"/>
      <c r="I159" s="260"/>
      <c r="J159" s="288">
        <f t="shared" si="27"/>
        <v>0</v>
      </c>
      <c r="K159" s="289">
        <f t="shared" si="28"/>
        <v>0</v>
      </c>
      <c r="L159" s="290">
        <f t="shared" si="29"/>
        <v>0</v>
      </c>
    </row>
    <row r="160" spans="3:12" x14ac:dyDescent="0.25">
      <c r="C160" s="255"/>
      <c r="D160" s="256"/>
      <c r="E160" s="257"/>
      <c r="F160" s="257"/>
      <c r="G160" s="258"/>
      <c r="H160" s="243"/>
      <c r="I160" s="260"/>
      <c r="J160" s="288">
        <f t="shared" si="27"/>
        <v>0</v>
      </c>
      <c r="K160" s="289">
        <f t="shared" si="28"/>
        <v>0</v>
      </c>
      <c r="L160" s="290">
        <f t="shared" si="29"/>
        <v>0</v>
      </c>
    </row>
    <row r="161" spans="3:12" x14ac:dyDescent="0.25">
      <c r="C161" s="255"/>
      <c r="D161" s="256"/>
      <c r="E161" s="257"/>
      <c r="F161" s="257"/>
      <c r="G161" s="258"/>
      <c r="H161" s="243"/>
      <c r="I161" s="260"/>
      <c r="J161" s="288">
        <f t="shared" si="27"/>
        <v>0</v>
      </c>
      <c r="K161" s="289">
        <f t="shared" si="28"/>
        <v>0</v>
      </c>
      <c r="L161" s="290">
        <f t="shared" si="29"/>
        <v>0</v>
      </c>
    </row>
    <row r="162" spans="3:12" x14ac:dyDescent="0.25">
      <c r="C162" s="255"/>
      <c r="D162" s="256"/>
      <c r="E162" s="257"/>
      <c r="F162" s="257"/>
      <c r="G162" s="258"/>
      <c r="H162" s="243"/>
      <c r="I162" s="260"/>
      <c r="J162" s="288">
        <f t="shared" si="27"/>
        <v>0</v>
      </c>
      <c r="K162" s="289">
        <f t="shared" si="28"/>
        <v>0</v>
      </c>
      <c r="L162" s="290">
        <f t="shared" si="29"/>
        <v>0</v>
      </c>
    </row>
    <row r="163" spans="3:12" x14ac:dyDescent="0.25">
      <c r="C163" s="255"/>
      <c r="D163" s="256"/>
      <c r="E163" s="257"/>
      <c r="F163" s="257"/>
      <c r="G163" s="258"/>
      <c r="H163" s="243"/>
      <c r="I163" s="260"/>
      <c r="J163" s="288">
        <f t="shared" si="27"/>
        <v>0</v>
      </c>
      <c r="K163" s="289">
        <f t="shared" si="28"/>
        <v>0</v>
      </c>
      <c r="L163" s="290">
        <f t="shared" si="29"/>
        <v>0</v>
      </c>
    </row>
    <row r="164" spans="3:12" x14ac:dyDescent="0.25">
      <c r="C164" s="255"/>
      <c r="D164" s="256"/>
      <c r="E164" s="257"/>
      <c r="F164" s="257"/>
      <c r="G164" s="258"/>
      <c r="H164" s="243"/>
      <c r="I164" s="260"/>
      <c r="J164" s="288">
        <f t="shared" si="27"/>
        <v>0</v>
      </c>
      <c r="K164" s="289">
        <f t="shared" si="28"/>
        <v>0</v>
      </c>
      <c r="L164" s="290">
        <f t="shared" si="29"/>
        <v>0</v>
      </c>
    </row>
    <row r="165" spans="3:12" x14ac:dyDescent="0.25">
      <c r="C165" s="255"/>
      <c r="D165" s="256"/>
      <c r="E165" s="257"/>
      <c r="F165" s="257"/>
      <c r="G165" s="258"/>
      <c r="H165" s="243"/>
      <c r="I165" s="260"/>
      <c r="J165" s="288">
        <f t="shared" si="27"/>
        <v>0</v>
      </c>
      <c r="K165" s="289">
        <f t="shared" si="28"/>
        <v>0</v>
      </c>
      <c r="L165" s="290">
        <f t="shared" si="29"/>
        <v>0</v>
      </c>
    </row>
    <row r="166" spans="3:12" x14ac:dyDescent="0.25">
      <c r="C166" s="255"/>
      <c r="D166" s="256"/>
      <c r="E166" s="257"/>
      <c r="F166" s="257"/>
      <c r="G166" s="258"/>
      <c r="H166" s="243"/>
      <c r="I166" s="260"/>
      <c r="J166" s="288">
        <f t="shared" si="27"/>
        <v>0</v>
      </c>
      <c r="K166" s="289">
        <f t="shared" si="28"/>
        <v>0</v>
      </c>
      <c r="L166" s="290">
        <f t="shared" si="29"/>
        <v>0</v>
      </c>
    </row>
    <row r="167" spans="3:12" x14ac:dyDescent="0.25">
      <c r="C167" s="255"/>
      <c r="D167" s="256"/>
      <c r="E167" s="257"/>
      <c r="F167" s="257"/>
      <c r="G167" s="258"/>
      <c r="H167" s="243"/>
      <c r="I167" s="260"/>
      <c r="J167" s="288">
        <f t="shared" si="27"/>
        <v>0</v>
      </c>
      <c r="K167" s="289">
        <f t="shared" si="28"/>
        <v>0</v>
      </c>
      <c r="L167" s="290">
        <f t="shared" si="29"/>
        <v>0</v>
      </c>
    </row>
    <row r="168" spans="3:12" x14ac:dyDescent="0.25">
      <c r="C168" s="255"/>
      <c r="D168" s="256"/>
      <c r="E168" s="257"/>
      <c r="F168" s="257"/>
      <c r="G168" s="258"/>
      <c r="H168" s="243"/>
      <c r="I168" s="260"/>
      <c r="J168" s="288">
        <f t="shared" si="27"/>
        <v>0</v>
      </c>
      <c r="K168" s="289">
        <f t="shared" si="28"/>
        <v>0</v>
      </c>
      <c r="L168" s="290">
        <f t="shared" si="29"/>
        <v>0</v>
      </c>
    </row>
    <row r="169" spans="3:12" x14ac:dyDescent="0.25">
      <c r="C169" s="255"/>
      <c r="D169" s="256"/>
      <c r="E169" s="257"/>
      <c r="F169" s="257"/>
      <c r="G169" s="258"/>
      <c r="H169" s="243"/>
      <c r="I169" s="260"/>
      <c r="J169" s="288">
        <f t="shared" si="27"/>
        <v>0</v>
      </c>
      <c r="K169" s="289">
        <f t="shared" si="28"/>
        <v>0</v>
      </c>
      <c r="L169" s="290">
        <f t="shared" si="29"/>
        <v>0</v>
      </c>
    </row>
    <row r="170" spans="3:12" x14ac:dyDescent="0.25">
      <c r="C170" s="255"/>
      <c r="D170" s="256"/>
      <c r="E170" s="257"/>
      <c r="F170" s="257"/>
      <c r="G170" s="258"/>
      <c r="H170" s="243"/>
      <c r="I170" s="260"/>
      <c r="J170" s="288">
        <f t="shared" si="27"/>
        <v>0</v>
      </c>
      <c r="K170" s="289">
        <f t="shared" si="28"/>
        <v>0</v>
      </c>
      <c r="L170" s="290">
        <f t="shared" si="29"/>
        <v>0</v>
      </c>
    </row>
    <row r="171" spans="3:12" x14ac:dyDescent="0.25">
      <c r="C171" s="255"/>
      <c r="D171" s="256"/>
      <c r="E171" s="257"/>
      <c r="F171" s="257"/>
      <c r="G171" s="258"/>
      <c r="H171" s="243"/>
      <c r="I171" s="260"/>
      <c r="J171" s="288">
        <f t="shared" si="27"/>
        <v>0</v>
      </c>
      <c r="K171" s="289">
        <f t="shared" si="28"/>
        <v>0</v>
      </c>
      <c r="L171" s="290">
        <f t="shared" si="29"/>
        <v>0</v>
      </c>
    </row>
    <row r="172" spans="3:12" x14ac:dyDescent="0.25">
      <c r="C172" s="255"/>
      <c r="D172" s="256"/>
      <c r="E172" s="257"/>
      <c r="F172" s="257"/>
      <c r="G172" s="258"/>
      <c r="H172" s="243"/>
      <c r="I172" s="260"/>
      <c r="J172" s="288">
        <f t="shared" si="27"/>
        <v>0</v>
      </c>
      <c r="K172" s="289">
        <f t="shared" si="28"/>
        <v>0</v>
      </c>
      <c r="L172" s="290">
        <f t="shared" si="29"/>
        <v>0</v>
      </c>
    </row>
    <row r="173" spans="3:12" x14ac:dyDescent="0.25">
      <c r="C173" s="255"/>
      <c r="D173" s="256"/>
      <c r="E173" s="257"/>
      <c r="F173" s="257"/>
      <c r="G173" s="258"/>
      <c r="H173" s="243"/>
      <c r="I173" s="260"/>
      <c r="J173" s="288">
        <f t="shared" si="27"/>
        <v>0</v>
      </c>
      <c r="K173" s="289">
        <f t="shared" si="28"/>
        <v>0</v>
      </c>
      <c r="L173" s="290">
        <f t="shared" si="29"/>
        <v>0</v>
      </c>
    </row>
    <row r="174" spans="3:12" x14ac:dyDescent="0.25">
      <c r="C174" s="255"/>
      <c r="D174" s="256"/>
      <c r="E174" s="257"/>
      <c r="F174" s="257"/>
      <c r="G174" s="258"/>
      <c r="H174" s="243"/>
      <c r="I174" s="260"/>
      <c r="J174" s="288">
        <f t="shared" si="27"/>
        <v>0</v>
      </c>
      <c r="K174" s="289">
        <f t="shared" si="28"/>
        <v>0</v>
      </c>
      <c r="L174" s="290">
        <f t="shared" si="29"/>
        <v>0</v>
      </c>
    </row>
    <row r="175" spans="3:12" x14ac:dyDescent="0.25">
      <c r="C175" s="255"/>
      <c r="D175" s="256"/>
      <c r="E175" s="257"/>
      <c r="F175" s="257"/>
      <c r="G175" s="258"/>
      <c r="H175" s="243"/>
      <c r="I175" s="260"/>
      <c r="J175" s="288">
        <f t="shared" si="27"/>
        <v>0</v>
      </c>
      <c r="K175" s="289">
        <f t="shared" si="28"/>
        <v>0</v>
      </c>
      <c r="L175" s="290">
        <f t="shared" si="29"/>
        <v>0</v>
      </c>
    </row>
    <row r="176" spans="3:12" x14ac:dyDescent="0.25">
      <c r="C176" s="255"/>
      <c r="D176" s="256"/>
      <c r="E176" s="257"/>
      <c r="F176" s="257"/>
      <c r="G176" s="258"/>
      <c r="H176" s="243"/>
      <c r="I176" s="260"/>
      <c r="J176" s="288">
        <f t="shared" si="27"/>
        <v>0</v>
      </c>
      <c r="K176" s="289">
        <f t="shared" si="28"/>
        <v>0</v>
      </c>
      <c r="L176" s="290">
        <f t="shared" si="29"/>
        <v>0</v>
      </c>
    </row>
    <row r="177" spans="3:12" x14ac:dyDescent="0.25">
      <c r="C177" s="255"/>
      <c r="D177" s="256"/>
      <c r="E177" s="257"/>
      <c r="F177" s="257"/>
      <c r="G177" s="258"/>
      <c r="H177" s="243"/>
      <c r="I177" s="260"/>
      <c r="J177" s="288">
        <f t="shared" si="27"/>
        <v>0</v>
      </c>
      <c r="K177" s="289">
        <f t="shared" si="28"/>
        <v>0</v>
      </c>
      <c r="L177" s="290">
        <f t="shared" si="29"/>
        <v>0</v>
      </c>
    </row>
    <row r="178" spans="3:12" x14ac:dyDescent="0.25">
      <c r="C178" s="255"/>
      <c r="D178" s="256"/>
      <c r="E178" s="257"/>
      <c r="F178" s="257"/>
      <c r="G178" s="258"/>
      <c r="H178" s="243"/>
      <c r="I178" s="260"/>
      <c r="J178" s="288">
        <f t="shared" si="27"/>
        <v>0</v>
      </c>
      <c r="K178" s="289">
        <f t="shared" si="28"/>
        <v>0</v>
      </c>
      <c r="L178" s="290">
        <f t="shared" si="29"/>
        <v>0</v>
      </c>
    </row>
    <row r="179" spans="3:12" x14ac:dyDescent="0.25">
      <c r="C179" s="255"/>
      <c r="D179" s="256"/>
      <c r="E179" s="257"/>
      <c r="F179" s="257"/>
      <c r="G179" s="258"/>
      <c r="H179" s="243"/>
      <c r="I179" s="260"/>
      <c r="J179" s="288">
        <f t="shared" si="27"/>
        <v>0</v>
      </c>
      <c r="K179" s="289">
        <f t="shared" si="28"/>
        <v>0</v>
      </c>
      <c r="L179" s="290">
        <f t="shared" si="29"/>
        <v>0</v>
      </c>
    </row>
    <row r="180" spans="3:12" x14ac:dyDescent="0.25">
      <c r="C180" s="255"/>
      <c r="D180" s="256"/>
      <c r="E180" s="257"/>
      <c r="F180" s="257"/>
      <c r="G180" s="258"/>
      <c r="H180" s="243"/>
      <c r="I180" s="260"/>
      <c r="J180" s="288">
        <f t="shared" si="27"/>
        <v>0</v>
      </c>
      <c r="K180" s="289">
        <f t="shared" si="28"/>
        <v>0</v>
      </c>
      <c r="L180" s="290">
        <f t="shared" si="29"/>
        <v>0</v>
      </c>
    </row>
    <row r="181" spans="3:12" x14ac:dyDescent="0.25">
      <c r="C181" s="255"/>
      <c r="D181" s="256"/>
      <c r="E181" s="257"/>
      <c r="F181" s="257"/>
      <c r="G181" s="258"/>
      <c r="H181" s="243"/>
      <c r="I181" s="260"/>
      <c r="J181" s="288">
        <f t="shared" si="27"/>
        <v>0</v>
      </c>
      <c r="K181" s="289">
        <f t="shared" si="28"/>
        <v>0</v>
      </c>
      <c r="L181" s="290">
        <f t="shared" si="29"/>
        <v>0</v>
      </c>
    </row>
    <row r="182" spans="3:12" x14ac:dyDescent="0.25">
      <c r="C182" s="255"/>
      <c r="D182" s="256"/>
      <c r="E182" s="257"/>
      <c r="F182" s="257"/>
      <c r="G182" s="258"/>
      <c r="H182" s="243"/>
      <c r="I182" s="260"/>
      <c r="J182" s="288">
        <f t="shared" si="27"/>
        <v>0</v>
      </c>
      <c r="K182" s="289">
        <f t="shared" si="28"/>
        <v>0</v>
      </c>
      <c r="L182" s="290">
        <f t="shared" si="29"/>
        <v>0</v>
      </c>
    </row>
    <row r="183" spans="3:12" x14ac:dyDescent="0.25">
      <c r="C183" s="255"/>
      <c r="D183" s="256"/>
      <c r="E183" s="257"/>
      <c r="F183" s="257"/>
      <c r="G183" s="258"/>
      <c r="H183" s="243"/>
      <c r="I183" s="260"/>
      <c r="J183" s="288">
        <f t="shared" si="27"/>
        <v>0</v>
      </c>
      <c r="K183" s="289">
        <f t="shared" si="28"/>
        <v>0</v>
      </c>
      <c r="L183" s="290">
        <f t="shared" si="29"/>
        <v>0</v>
      </c>
    </row>
    <row r="184" spans="3:12" x14ac:dyDescent="0.25">
      <c r="C184" s="255"/>
      <c r="D184" s="256"/>
      <c r="E184" s="257"/>
      <c r="F184" s="257"/>
      <c r="G184" s="258"/>
      <c r="H184" s="243"/>
      <c r="I184" s="260"/>
      <c r="J184" s="288">
        <f t="shared" si="27"/>
        <v>0</v>
      </c>
      <c r="K184" s="289">
        <f t="shared" si="28"/>
        <v>0</v>
      </c>
      <c r="L184" s="290">
        <f t="shared" si="29"/>
        <v>0</v>
      </c>
    </row>
    <row r="185" spans="3:12" x14ac:dyDescent="0.25">
      <c r="C185" s="255"/>
      <c r="D185" s="256"/>
      <c r="E185" s="257"/>
      <c r="F185" s="257"/>
      <c r="G185" s="258"/>
      <c r="H185" s="243"/>
      <c r="I185" s="260"/>
      <c r="J185" s="288">
        <f t="shared" ref="J185:J248" si="30">IFERROR(IF(E185="Commercial",VLOOKUP(D185,$N$40:$P$46,3,FALSE),VLOOKUP(E185,$N$18:$P$24,3,FALSE)),0)</f>
        <v>0</v>
      </c>
      <c r="K185" s="289">
        <f t="shared" ref="K185:K248" si="31">J185-H185</f>
        <v>0</v>
      </c>
      <c r="L185" s="290">
        <f t="shared" si="29"/>
        <v>0</v>
      </c>
    </row>
    <row r="186" spans="3:12" x14ac:dyDescent="0.25">
      <c r="C186" s="255"/>
      <c r="D186" s="256"/>
      <c r="E186" s="257"/>
      <c r="F186" s="257"/>
      <c r="G186" s="258"/>
      <c r="H186" s="243"/>
      <c r="I186" s="260"/>
      <c r="J186" s="288">
        <f t="shared" si="30"/>
        <v>0</v>
      </c>
      <c r="K186" s="289">
        <f t="shared" si="31"/>
        <v>0</v>
      </c>
      <c r="L186" s="290">
        <f t="shared" si="29"/>
        <v>0</v>
      </c>
    </row>
    <row r="187" spans="3:12" x14ac:dyDescent="0.25">
      <c r="C187" s="255"/>
      <c r="D187" s="256"/>
      <c r="E187" s="257"/>
      <c r="F187" s="257"/>
      <c r="G187" s="258"/>
      <c r="H187" s="243"/>
      <c r="I187" s="260"/>
      <c r="J187" s="288">
        <f t="shared" si="30"/>
        <v>0</v>
      </c>
      <c r="K187" s="289">
        <f t="shared" si="31"/>
        <v>0</v>
      </c>
      <c r="L187" s="290">
        <f t="shared" si="29"/>
        <v>0</v>
      </c>
    </row>
    <row r="188" spans="3:12" x14ac:dyDescent="0.25">
      <c r="C188" s="255"/>
      <c r="D188" s="256"/>
      <c r="E188" s="257"/>
      <c r="F188" s="257"/>
      <c r="G188" s="258"/>
      <c r="H188" s="243"/>
      <c r="I188" s="260"/>
      <c r="J188" s="288">
        <f t="shared" si="30"/>
        <v>0</v>
      </c>
      <c r="K188" s="289">
        <f t="shared" si="31"/>
        <v>0</v>
      </c>
      <c r="L188" s="290">
        <f t="shared" si="29"/>
        <v>0</v>
      </c>
    </row>
    <row r="189" spans="3:12" x14ac:dyDescent="0.25">
      <c r="C189" s="255"/>
      <c r="D189" s="256"/>
      <c r="E189" s="257"/>
      <c r="F189" s="257"/>
      <c r="G189" s="258"/>
      <c r="H189" s="243"/>
      <c r="I189" s="260"/>
      <c r="J189" s="288">
        <f t="shared" si="30"/>
        <v>0</v>
      </c>
      <c r="K189" s="289">
        <f t="shared" si="31"/>
        <v>0</v>
      </c>
      <c r="L189" s="290">
        <f t="shared" si="29"/>
        <v>0</v>
      </c>
    </row>
    <row r="190" spans="3:12" x14ac:dyDescent="0.25">
      <c r="C190" s="255"/>
      <c r="D190" s="256"/>
      <c r="E190" s="257"/>
      <c r="F190" s="257"/>
      <c r="G190" s="258"/>
      <c r="H190" s="243"/>
      <c r="I190" s="260"/>
      <c r="J190" s="288">
        <f t="shared" si="30"/>
        <v>0</v>
      </c>
      <c r="K190" s="289">
        <f t="shared" si="31"/>
        <v>0</v>
      </c>
      <c r="L190" s="290">
        <f t="shared" si="29"/>
        <v>0</v>
      </c>
    </row>
    <row r="191" spans="3:12" x14ac:dyDescent="0.25">
      <c r="C191" s="255"/>
      <c r="D191" s="256"/>
      <c r="E191" s="257"/>
      <c r="F191" s="257"/>
      <c r="G191" s="258"/>
      <c r="H191" s="243"/>
      <c r="I191" s="260"/>
      <c r="J191" s="288">
        <f t="shared" si="30"/>
        <v>0</v>
      </c>
      <c r="K191" s="289">
        <f t="shared" si="31"/>
        <v>0</v>
      </c>
      <c r="L191" s="290">
        <f t="shared" si="29"/>
        <v>0</v>
      </c>
    </row>
    <row r="192" spans="3:12" x14ac:dyDescent="0.25">
      <c r="C192" s="255"/>
      <c r="D192" s="256"/>
      <c r="E192" s="257"/>
      <c r="F192" s="257"/>
      <c r="G192" s="258"/>
      <c r="H192" s="243"/>
      <c r="I192" s="260"/>
      <c r="J192" s="288">
        <f t="shared" si="30"/>
        <v>0</v>
      </c>
      <c r="K192" s="289">
        <f t="shared" si="31"/>
        <v>0</v>
      </c>
      <c r="L192" s="290">
        <f t="shared" si="29"/>
        <v>0</v>
      </c>
    </row>
    <row r="193" spans="3:12" x14ac:dyDescent="0.25">
      <c r="C193" s="255"/>
      <c r="D193" s="256"/>
      <c r="E193" s="257"/>
      <c r="F193" s="257"/>
      <c r="G193" s="258"/>
      <c r="H193" s="243"/>
      <c r="I193" s="260"/>
      <c r="J193" s="288">
        <f t="shared" si="30"/>
        <v>0</v>
      </c>
      <c r="K193" s="289">
        <f t="shared" si="31"/>
        <v>0</v>
      </c>
      <c r="L193" s="290">
        <f t="shared" si="29"/>
        <v>0</v>
      </c>
    </row>
    <row r="194" spans="3:12" x14ac:dyDescent="0.25">
      <c r="C194" s="255"/>
      <c r="D194" s="256"/>
      <c r="E194" s="257"/>
      <c r="F194" s="257"/>
      <c r="G194" s="258"/>
      <c r="H194" s="243"/>
      <c r="I194" s="260"/>
      <c r="J194" s="288">
        <f t="shared" si="30"/>
        <v>0</v>
      </c>
      <c r="K194" s="289">
        <f t="shared" si="31"/>
        <v>0</v>
      </c>
      <c r="L194" s="290">
        <f t="shared" si="29"/>
        <v>0</v>
      </c>
    </row>
    <row r="195" spans="3:12" x14ac:dyDescent="0.25">
      <c r="C195" s="255"/>
      <c r="D195" s="256"/>
      <c r="E195" s="257"/>
      <c r="F195" s="257"/>
      <c r="G195" s="258"/>
      <c r="H195" s="243"/>
      <c r="I195" s="260"/>
      <c r="J195" s="288">
        <f t="shared" si="30"/>
        <v>0</v>
      </c>
      <c r="K195" s="289">
        <f t="shared" si="31"/>
        <v>0</v>
      </c>
      <c r="L195" s="290">
        <f t="shared" si="29"/>
        <v>0</v>
      </c>
    </row>
    <row r="196" spans="3:12" x14ac:dyDescent="0.25">
      <c r="C196" s="255"/>
      <c r="D196" s="256"/>
      <c r="E196" s="257"/>
      <c r="F196" s="257"/>
      <c r="G196" s="258"/>
      <c r="H196" s="243"/>
      <c r="I196" s="260"/>
      <c r="J196" s="288">
        <f t="shared" si="30"/>
        <v>0</v>
      </c>
      <c r="K196" s="289">
        <f t="shared" si="31"/>
        <v>0</v>
      </c>
      <c r="L196" s="290">
        <f t="shared" si="29"/>
        <v>0</v>
      </c>
    </row>
    <row r="197" spans="3:12" x14ac:dyDescent="0.25">
      <c r="C197" s="255"/>
      <c r="D197" s="256"/>
      <c r="E197" s="257"/>
      <c r="F197" s="257"/>
      <c r="G197" s="258"/>
      <c r="H197" s="243"/>
      <c r="I197" s="260"/>
      <c r="J197" s="288">
        <f t="shared" si="30"/>
        <v>0</v>
      </c>
      <c r="K197" s="289">
        <f t="shared" si="31"/>
        <v>0</v>
      </c>
      <c r="L197" s="290">
        <f t="shared" si="29"/>
        <v>0</v>
      </c>
    </row>
    <row r="198" spans="3:12" x14ac:dyDescent="0.25">
      <c r="C198" s="255"/>
      <c r="D198" s="256"/>
      <c r="E198" s="257"/>
      <c r="F198" s="257"/>
      <c r="G198" s="258"/>
      <c r="H198" s="243"/>
      <c r="I198" s="260"/>
      <c r="J198" s="288">
        <f t="shared" si="30"/>
        <v>0</v>
      </c>
      <c r="K198" s="289">
        <f t="shared" si="31"/>
        <v>0</v>
      </c>
      <c r="L198" s="290">
        <f t="shared" si="29"/>
        <v>0</v>
      </c>
    </row>
    <row r="199" spans="3:12" x14ac:dyDescent="0.25">
      <c r="C199" s="255"/>
      <c r="D199" s="256"/>
      <c r="E199" s="257"/>
      <c r="F199" s="257"/>
      <c r="G199" s="258"/>
      <c r="H199" s="243"/>
      <c r="I199" s="260"/>
      <c r="J199" s="288">
        <f t="shared" si="30"/>
        <v>0</v>
      </c>
      <c r="K199" s="289">
        <f t="shared" si="31"/>
        <v>0</v>
      </c>
      <c r="L199" s="290">
        <f t="shared" si="29"/>
        <v>0</v>
      </c>
    </row>
    <row r="200" spans="3:12" x14ac:dyDescent="0.25">
      <c r="C200" s="255"/>
      <c r="D200" s="256"/>
      <c r="E200" s="257"/>
      <c r="F200" s="257"/>
      <c r="G200" s="258"/>
      <c r="H200" s="243"/>
      <c r="I200" s="260"/>
      <c r="J200" s="288">
        <f t="shared" si="30"/>
        <v>0</v>
      </c>
      <c r="K200" s="289">
        <f t="shared" si="31"/>
        <v>0</v>
      </c>
      <c r="L200" s="290">
        <f t="shared" si="29"/>
        <v>0</v>
      </c>
    </row>
    <row r="201" spans="3:12" x14ac:dyDescent="0.25">
      <c r="C201" s="255"/>
      <c r="D201" s="256"/>
      <c r="E201" s="257"/>
      <c r="F201" s="257"/>
      <c r="G201" s="258"/>
      <c r="H201" s="243"/>
      <c r="I201" s="260"/>
      <c r="J201" s="288">
        <f t="shared" si="30"/>
        <v>0</v>
      </c>
      <c r="K201" s="289">
        <f t="shared" si="31"/>
        <v>0</v>
      </c>
      <c r="L201" s="290">
        <f t="shared" ref="L201:L264" si="32">IFERROR(IF(J201&gt;0,K201/H201,0),0)</f>
        <v>0</v>
      </c>
    </row>
    <row r="202" spans="3:12" x14ac:dyDescent="0.25">
      <c r="C202" s="255"/>
      <c r="D202" s="256"/>
      <c r="E202" s="257"/>
      <c r="F202" s="257"/>
      <c r="G202" s="258"/>
      <c r="H202" s="243"/>
      <c r="I202" s="260"/>
      <c r="J202" s="288">
        <f t="shared" si="30"/>
        <v>0</v>
      </c>
      <c r="K202" s="289">
        <f t="shared" si="31"/>
        <v>0</v>
      </c>
      <c r="L202" s="290">
        <f t="shared" si="32"/>
        <v>0</v>
      </c>
    </row>
    <row r="203" spans="3:12" x14ac:dyDescent="0.25">
      <c r="C203" s="255"/>
      <c r="D203" s="256"/>
      <c r="E203" s="257"/>
      <c r="F203" s="257"/>
      <c r="G203" s="258"/>
      <c r="H203" s="243"/>
      <c r="I203" s="260"/>
      <c r="J203" s="288">
        <f t="shared" si="30"/>
        <v>0</v>
      </c>
      <c r="K203" s="289">
        <f t="shared" si="31"/>
        <v>0</v>
      </c>
      <c r="L203" s="290">
        <f t="shared" si="32"/>
        <v>0</v>
      </c>
    </row>
    <row r="204" spans="3:12" x14ac:dyDescent="0.25">
      <c r="C204" s="255"/>
      <c r="D204" s="256"/>
      <c r="E204" s="257"/>
      <c r="F204" s="257"/>
      <c r="G204" s="258"/>
      <c r="H204" s="243"/>
      <c r="I204" s="260"/>
      <c r="J204" s="288">
        <f t="shared" si="30"/>
        <v>0</v>
      </c>
      <c r="K204" s="289">
        <f t="shared" si="31"/>
        <v>0</v>
      </c>
      <c r="L204" s="290">
        <f t="shared" si="32"/>
        <v>0</v>
      </c>
    </row>
    <row r="205" spans="3:12" x14ac:dyDescent="0.25">
      <c r="C205" s="255"/>
      <c r="D205" s="256"/>
      <c r="E205" s="257"/>
      <c r="F205" s="257"/>
      <c r="G205" s="258"/>
      <c r="H205" s="243"/>
      <c r="I205" s="260"/>
      <c r="J205" s="288">
        <f t="shared" si="30"/>
        <v>0</v>
      </c>
      <c r="K205" s="289">
        <f t="shared" si="31"/>
        <v>0</v>
      </c>
      <c r="L205" s="290">
        <f t="shared" si="32"/>
        <v>0</v>
      </c>
    </row>
    <row r="206" spans="3:12" x14ac:dyDescent="0.25">
      <c r="C206" s="255"/>
      <c r="D206" s="256"/>
      <c r="E206" s="257"/>
      <c r="F206" s="257"/>
      <c r="G206" s="258"/>
      <c r="H206" s="243"/>
      <c r="I206" s="260"/>
      <c r="J206" s="288">
        <f t="shared" si="30"/>
        <v>0</v>
      </c>
      <c r="K206" s="289">
        <f t="shared" si="31"/>
        <v>0</v>
      </c>
      <c r="L206" s="290">
        <f t="shared" si="32"/>
        <v>0</v>
      </c>
    </row>
    <row r="207" spans="3:12" x14ac:dyDescent="0.25">
      <c r="C207" s="255"/>
      <c r="D207" s="256"/>
      <c r="E207" s="257"/>
      <c r="F207" s="257"/>
      <c r="G207" s="258"/>
      <c r="H207" s="243"/>
      <c r="I207" s="260"/>
      <c r="J207" s="288">
        <f t="shared" si="30"/>
        <v>0</v>
      </c>
      <c r="K207" s="289">
        <f t="shared" si="31"/>
        <v>0</v>
      </c>
      <c r="L207" s="290">
        <f t="shared" si="32"/>
        <v>0</v>
      </c>
    </row>
    <row r="208" spans="3:12" x14ac:dyDescent="0.25">
      <c r="C208" s="255"/>
      <c r="D208" s="256"/>
      <c r="E208" s="257"/>
      <c r="F208" s="257"/>
      <c r="G208" s="258"/>
      <c r="H208" s="243"/>
      <c r="I208" s="260"/>
      <c r="J208" s="288">
        <f t="shared" si="30"/>
        <v>0</v>
      </c>
      <c r="K208" s="289">
        <f t="shared" si="31"/>
        <v>0</v>
      </c>
      <c r="L208" s="290">
        <f t="shared" si="32"/>
        <v>0</v>
      </c>
    </row>
    <row r="209" spans="3:12" x14ac:dyDescent="0.25">
      <c r="C209" s="255"/>
      <c r="D209" s="256"/>
      <c r="E209" s="257"/>
      <c r="F209" s="257"/>
      <c r="G209" s="258"/>
      <c r="H209" s="243"/>
      <c r="I209" s="260"/>
      <c r="J209" s="288">
        <f t="shared" si="30"/>
        <v>0</v>
      </c>
      <c r="K209" s="289">
        <f t="shared" si="31"/>
        <v>0</v>
      </c>
      <c r="L209" s="290">
        <f t="shared" si="32"/>
        <v>0</v>
      </c>
    </row>
    <row r="210" spans="3:12" x14ac:dyDescent="0.25">
      <c r="C210" s="255"/>
      <c r="D210" s="256"/>
      <c r="E210" s="257"/>
      <c r="F210" s="257"/>
      <c r="G210" s="258"/>
      <c r="H210" s="243"/>
      <c r="I210" s="260"/>
      <c r="J210" s="288">
        <f t="shared" si="30"/>
        <v>0</v>
      </c>
      <c r="K210" s="289">
        <f t="shared" si="31"/>
        <v>0</v>
      </c>
      <c r="L210" s="290">
        <f t="shared" si="32"/>
        <v>0</v>
      </c>
    </row>
    <row r="211" spans="3:12" x14ac:dyDescent="0.25">
      <c r="C211" s="255"/>
      <c r="D211" s="256"/>
      <c r="E211" s="257"/>
      <c r="F211" s="257"/>
      <c r="G211" s="258"/>
      <c r="H211" s="243"/>
      <c r="I211" s="260"/>
      <c r="J211" s="288">
        <f t="shared" si="30"/>
        <v>0</v>
      </c>
      <c r="K211" s="289">
        <f t="shared" si="31"/>
        <v>0</v>
      </c>
      <c r="L211" s="290">
        <f t="shared" si="32"/>
        <v>0</v>
      </c>
    </row>
    <row r="212" spans="3:12" x14ac:dyDescent="0.25">
      <c r="C212" s="255"/>
      <c r="D212" s="256"/>
      <c r="E212" s="257"/>
      <c r="F212" s="257"/>
      <c r="G212" s="258"/>
      <c r="H212" s="243"/>
      <c r="I212" s="260"/>
      <c r="J212" s="288">
        <f t="shared" si="30"/>
        <v>0</v>
      </c>
      <c r="K212" s="289">
        <f t="shared" si="31"/>
        <v>0</v>
      </c>
      <c r="L212" s="290">
        <f t="shared" si="32"/>
        <v>0</v>
      </c>
    </row>
    <row r="213" spans="3:12" x14ac:dyDescent="0.25">
      <c r="C213" s="255"/>
      <c r="D213" s="256"/>
      <c r="E213" s="257"/>
      <c r="F213" s="257"/>
      <c r="G213" s="258"/>
      <c r="H213" s="243"/>
      <c r="I213" s="260"/>
      <c r="J213" s="288">
        <f t="shared" si="30"/>
        <v>0</v>
      </c>
      <c r="K213" s="289">
        <f t="shared" si="31"/>
        <v>0</v>
      </c>
      <c r="L213" s="290">
        <f t="shared" si="32"/>
        <v>0</v>
      </c>
    </row>
    <row r="214" spans="3:12" x14ac:dyDescent="0.25">
      <c r="C214" s="255"/>
      <c r="D214" s="256"/>
      <c r="E214" s="257"/>
      <c r="F214" s="257"/>
      <c r="G214" s="258"/>
      <c r="H214" s="243"/>
      <c r="I214" s="260"/>
      <c r="J214" s="288">
        <f t="shared" si="30"/>
        <v>0</v>
      </c>
      <c r="K214" s="289">
        <f t="shared" si="31"/>
        <v>0</v>
      </c>
      <c r="L214" s="290">
        <f t="shared" si="32"/>
        <v>0</v>
      </c>
    </row>
    <row r="215" spans="3:12" x14ac:dyDescent="0.25">
      <c r="C215" s="255"/>
      <c r="D215" s="256"/>
      <c r="E215" s="257"/>
      <c r="F215" s="257"/>
      <c r="G215" s="258"/>
      <c r="H215" s="243"/>
      <c r="I215" s="260"/>
      <c r="J215" s="288">
        <f t="shared" si="30"/>
        <v>0</v>
      </c>
      <c r="K215" s="289">
        <f t="shared" si="31"/>
        <v>0</v>
      </c>
      <c r="L215" s="290">
        <f t="shared" si="32"/>
        <v>0</v>
      </c>
    </row>
    <row r="216" spans="3:12" x14ac:dyDescent="0.25">
      <c r="C216" s="255"/>
      <c r="D216" s="256"/>
      <c r="E216" s="257"/>
      <c r="F216" s="257"/>
      <c r="G216" s="258"/>
      <c r="H216" s="243"/>
      <c r="I216" s="260"/>
      <c r="J216" s="288">
        <f t="shared" si="30"/>
        <v>0</v>
      </c>
      <c r="K216" s="289">
        <f t="shared" si="31"/>
        <v>0</v>
      </c>
      <c r="L216" s="290">
        <f t="shared" si="32"/>
        <v>0</v>
      </c>
    </row>
    <row r="217" spans="3:12" x14ac:dyDescent="0.25">
      <c r="C217" s="255"/>
      <c r="D217" s="256"/>
      <c r="E217" s="257"/>
      <c r="F217" s="257"/>
      <c r="G217" s="258"/>
      <c r="H217" s="243"/>
      <c r="I217" s="260"/>
      <c r="J217" s="288">
        <f t="shared" si="30"/>
        <v>0</v>
      </c>
      <c r="K217" s="289">
        <f t="shared" si="31"/>
        <v>0</v>
      </c>
      <c r="L217" s="290">
        <f t="shared" si="32"/>
        <v>0</v>
      </c>
    </row>
    <row r="218" spans="3:12" x14ac:dyDescent="0.25">
      <c r="C218" s="255"/>
      <c r="D218" s="256"/>
      <c r="E218" s="257"/>
      <c r="F218" s="257"/>
      <c r="G218" s="258"/>
      <c r="H218" s="243"/>
      <c r="I218" s="260"/>
      <c r="J218" s="288">
        <f t="shared" si="30"/>
        <v>0</v>
      </c>
      <c r="K218" s="289">
        <f t="shared" si="31"/>
        <v>0</v>
      </c>
      <c r="L218" s="290">
        <f t="shared" si="32"/>
        <v>0</v>
      </c>
    </row>
    <row r="219" spans="3:12" x14ac:dyDescent="0.25">
      <c r="C219" s="255"/>
      <c r="D219" s="256"/>
      <c r="E219" s="257"/>
      <c r="F219" s="257"/>
      <c r="G219" s="258"/>
      <c r="H219" s="243"/>
      <c r="I219" s="260"/>
      <c r="J219" s="288">
        <f t="shared" si="30"/>
        <v>0</v>
      </c>
      <c r="K219" s="289">
        <f t="shared" si="31"/>
        <v>0</v>
      </c>
      <c r="L219" s="290">
        <f t="shared" si="32"/>
        <v>0</v>
      </c>
    </row>
    <row r="220" spans="3:12" x14ac:dyDescent="0.25">
      <c r="C220" s="255"/>
      <c r="D220" s="256"/>
      <c r="E220" s="257"/>
      <c r="F220" s="257"/>
      <c r="G220" s="258"/>
      <c r="H220" s="243"/>
      <c r="I220" s="260"/>
      <c r="J220" s="288">
        <f t="shared" si="30"/>
        <v>0</v>
      </c>
      <c r="K220" s="289">
        <f t="shared" si="31"/>
        <v>0</v>
      </c>
      <c r="L220" s="290">
        <f t="shared" si="32"/>
        <v>0</v>
      </c>
    </row>
    <row r="221" spans="3:12" x14ac:dyDescent="0.25">
      <c r="C221" s="255"/>
      <c r="D221" s="256"/>
      <c r="E221" s="257"/>
      <c r="F221" s="257"/>
      <c r="G221" s="258"/>
      <c r="H221" s="243"/>
      <c r="I221" s="260"/>
      <c r="J221" s="288">
        <f t="shared" si="30"/>
        <v>0</v>
      </c>
      <c r="K221" s="289">
        <f t="shared" si="31"/>
        <v>0</v>
      </c>
      <c r="L221" s="290">
        <f t="shared" si="32"/>
        <v>0</v>
      </c>
    </row>
    <row r="222" spans="3:12" x14ac:dyDescent="0.25">
      <c r="C222" s="255"/>
      <c r="D222" s="256"/>
      <c r="E222" s="257"/>
      <c r="F222" s="257"/>
      <c r="G222" s="258"/>
      <c r="H222" s="243"/>
      <c r="I222" s="260"/>
      <c r="J222" s="288">
        <f t="shared" si="30"/>
        <v>0</v>
      </c>
      <c r="K222" s="289">
        <f t="shared" si="31"/>
        <v>0</v>
      </c>
      <c r="L222" s="290">
        <f t="shared" si="32"/>
        <v>0</v>
      </c>
    </row>
    <row r="223" spans="3:12" x14ac:dyDescent="0.25">
      <c r="C223" s="255"/>
      <c r="D223" s="256"/>
      <c r="E223" s="257"/>
      <c r="F223" s="257"/>
      <c r="G223" s="258"/>
      <c r="H223" s="243"/>
      <c r="I223" s="260"/>
      <c r="J223" s="288">
        <f t="shared" si="30"/>
        <v>0</v>
      </c>
      <c r="K223" s="289">
        <f t="shared" si="31"/>
        <v>0</v>
      </c>
      <c r="L223" s="290">
        <f t="shared" si="32"/>
        <v>0</v>
      </c>
    </row>
    <row r="224" spans="3:12" x14ac:dyDescent="0.25">
      <c r="C224" s="255"/>
      <c r="D224" s="256"/>
      <c r="E224" s="257"/>
      <c r="F224" s="257"/>
      <c r="G224" s="258"/>
      <c r="H224" s="243"/>
      <c r="I224" s="260"/>
      <c r="J224" s="288">
        <f t="shared" si="30"/>
        <v>0</v>
      </c>
      <c r="K224" s="289">
        <f t="shared" si="31"/>
        <v>0</v>
      </c>
      <c r="L224" s="290">
        <f t="shared" si="32"/>
        <v>0</v>
      </c>
    </row>
    <row r="225" spans="3:12" x14ac:dyDescent="0.25">
      <c r="C225" s="255"/>
      <c r="D225" s="256"/>
      <c r="E225" s="257"/>
      <c r="F225" s="257"/>
      <c r="G225" s="258"/>
      <c r="H225" s="243"/>
      <c r="I225" s="260"/>
      <c r="J225" s="288">
        <f t="shared" si="30"/>
        <v>0</v>
      </c>
      <c r="K225" s="289">
        <f t="shared" si="31"/>
        <v>0</v>
      </c>
      <c r="L225" s="290">
        <f t="shared" si="32"/>
        <v>0</v>
      </c>
    </row>
    <row r="226" spans="3:12" x14ac:dyDescent="0.25">
      <c r="C226" s="255"/>
      <c r="D226" s="256"/>
      <c r="E226" s="257"/>
      <c r="F226" s="257"/>
      <c r="G226" s="258"/>
      <c r="H226" s="243"/>
      <c r="I226" s="260"/>
      <c r="J226" s="288">
        <f t="shared" si="30"/>
        <v>0</v>
      </c>
      <c r="K226" s="289">
        <f t="shared" si="31"/>
        <v>0</v>
      </c>
      <c r="L226" s="290">
        <f t="shared" si="32"/>
        <v>0</v>
      </c>
    </row>
    <row r="227" spans="3:12" x14ac:dyDescent="0.25">
      <c r="C227" s="255"/>
      <c r="D227" s="256"/>
      <c r="E227" s="257"/>
      <c r="F227" s="257"/>
      <c r="G227" s="258"/>
      <c r="H227" s="243"/>
      <c r="I227" s="260"/>
      <c r="J227" s="288">
        <f t="shared" si="30"/>
        <v>0</v>
      </c>
      <c r="K227" s="289">
        <f t="shared" si="31"/>
        <v>0</v>
      </c>
      <c r="L227" s="290">
        <f t="shared" si="32"/>
        <v>0</v>
      </c>
    </row>
    <row r="228" spans="3:12" x14ac:dyDescent="0.25">
      <c r="C228" s="255"/>
      <c r="D228" s="256"/>
      <c r="E228" s="257"/>
      <c r="F228" s="257"/>
      <c r="G228" s="258"/>
      <c r="H228" s="243"/>
      <c r="I228" s="260"/>
      <c r="J228" s="288">
        <f t="shared" si="30"/>
        <v>0</v>
      </c>
      <c r="K228" s="289">
        <f t="shared" si="31"/>
        <v>0</v>
      </c>
      <c r="L228" s="290">
        <f t="shared" si="32"/>
        <v>0</v>
      </c>
    </row>
    <row r="229" spans="3:12" x14ac:dyDescent="0.25">
      <c r="C229" s="255"/>
      <c r="D229" s="256"/>
      <c r="E229" s="257"/>
      <c r="F229" s="257"/>
      <c r="G229" s="258"/>
      <c r="H229" s="243"/>
      <c r="I229" s="260"/>
      <c r="J229" s="288">
        <f t="shared" si="30"/>
        <v>0</v>
      </c>
      <c r="K229" s="289">
        <f t="shared" si="31"/>
        <v>0</v>
      </c>
      <c r="L229" s="290">
        <f t="shared" si="32"/>
        <v>0</v>
      </c>
    </row>
    <row r="230" spans="3:12" x14ac:dyDescent="0.25">
      <c r="C230" s="255"/>
      <c r="D230" s="256"/>
      <c r="E230" s="257"/>
      <c r="F230" s="257"/>
      <c r="G230" s="258"/>
      <c r="H230" s="243"/>
      <c r="I230" s="260"/>
      <c r="J230" s="288">
        <f t="shared" si="30"/>
        <v>0</v>
      </c>
      <c r="K230" s="289">
        <f t="shared" si="31"/>
        <v>0</v>
      </c>
      <c r="L230" s="290">
        <f t="shared" si="32"/>
        <v>0</v>
      </c>
    </row>
    <row r="231" spans="3:12" x14ac:dyDescent="0.25">
      <c r="C231" s="255"/>
      <c r="D231" s="256"/>
      <c r="E231" s="257"/>
      <c r="F231" s="257"/>
      <c r="G231" s="258"/>
      <c r="H231" s="243"/>
      <c r="I231" s="260"/>
      <c r="J231" s="288">
        <f t="shared" si="30"/>
        <v>0</v>
      </c>
      <c r="K231" s="289">
        <f t="shared" si="31"/>
        <v>0</v>
      </c>
      <c r="L231" s="290">
        <f t="shared" si="32"/>
        <v>0</v>
      </c>
    </row>
    <row r="232" spans="3:12" x14ac:dyDescent="0.25">
      <c r="C232" s="255"/>
      <c r="D232" s="256"/>
      <c r="E232" s="257"/>
      <c r="F232" s="257"/>
      <c r="G232" s="258"/>
      <c r="H232" s="243"/>
      <c r="I232" s="260"/>
      <c r="J232" s="288">
        <f t="shared" si="30"/>
        <v>0</v>
      </c>
      <c r="K232" s="289">
        <f t="shared" si="31"/>
        <v>0</v>
      </c>
      <c r="L232" s="290">
        <f t="shared" si="32"/>
        <v>0</v>
      </c>
    </row>
    <row r="233" spans="3:12" x14ac:dyDescent="0.25">
      <c r="C233" s="255"/>
      <c r="D233" s="256"/>
      <c r="E233" s="257"/>
      <c r="F233" s="257"/>
      <c r="G233" s="258"/>
      <c r="H233" s="243"/>
      <c r="I233" s="260"/>
      <c r="J233" s="288">
        <f t="shared" si="30"/>
        <v>0</v>
      </c>
      <c r="K233" s="289">
        <f t="shared" si="31"/>
        <v>0</v>
      </c>
      <c r="L233" s="290">
        <f t="shared" si="32"/>
        <v>0</v>
      </c>
    </row>
    <row r="234" spans="3:12" x14ac:dyDescent="0.25">
      <c r="C234" s="255"/>
      <c r="D234" s="256"/>
      <c r="E234" s="257"/>
      <c r="F234" s="257"/>
      <c r="G234" s="258"/>
      <c r="H234" s="243"/>
      <c r="I234" s="260"/>
      <c r="J234" s="288">
        <f t="shared" si="30"/>
        <v>0</v>
      </c>
      <c r="K234" s="289">
        <f t="shared" si="31"/>
        <v>0</v>
      </c>
      <c r="L234" s="290">
        <f t="shared" si="32"/>
        <v>0</v>
      </c>
    </row>
    <row r="235" spans="3:12" x14ac:dyDescent="0.25">
      <c r="C235" s="255"/>
      <c r="D235" s="256"/>
      <c r="E235" s="257"/>
      <c r="F235" s="257"/>
      <c r="G235" s="258"/>
      <c r="H235" s="243"/>
      <c r="I235" s="260"/>
      <c r="J235" s="288">
        <f t="shared" si="30"/>
        <v>0</v>
      </c>
      <c r="K235" s="289">
        <f t="shared" si="31"/>
        <v>0</v>
      </c>
      <c r="L235" s="290">
        <f t="shared" si="32"/>
        <v>0</v>
      </c>
    </row>
    <row r="236" spans="3:12" x14ac:dyDescent="0.25">
      <c r="C236" s="255"/>
      <c r="D236" s="256"/>
      <c r="E236" s="257"/>
      <c r="F236" s="257"/>
      <c r="G236" s="258"/>
      <c r="H236" s="243"/>
      <c r="I236" s="260"/>
      <c r="J236" s="288">
        <f t="shared" si="30"/>
        <v>0</v>
      </c>
      <c r="K236" s="289">
        <f t="shared" si="31"/>
        <v>0</v>
      </c>
      <c r="L236" s="290">
        <f t="shared" si="32"/>
        <v>0</v>
      </c>
    </row>
    <row r="237" spans="3:12" x14ac:dyDescent="0.25">
      <c r="C237" s="255"/>
      <c r="D237" s="256"/>
      <c r="E237" s="257"/>
      <c r="F237" s="257"/>
      <c r="G237" s="258"/>
      <c r="H237" s="243"/>
      <c r="I237" s="260"/>
      <c r="J237" s="288">
        <f t="shared" si="30"/>
        <v>0</v>
      </c>
      <c r="K237" s="289">
        <f t="shared" si="31"/>
        <v>0</v>
      </c>
      <c r="L237" s="290">
        <f t="shared" si="32"/>
        <v>0</v>
      </c>
    </row>
    <row r="238" spans="3:12" x14ac:dyDescent="0.25">
      <c r="C238" s="255"/>
      <c r="D238" s="256"/>
      <c r="E238" s="257"/>
      <c r="F238" s="257"/>
      <c r="G238" s="258"/>
      <c r="H238" s="243"/>
      <c r="I238" s="260"/>
      <c r="J238" s="288">
        <f t="shared" si="30"/>
        <v>0</v>
      </c>
      <c r="K238" s="289">
        <f t="shared" si="31"/>
        <v>0</v>
      </c>
      <c r="L238" s="290">
        <f t="shared" si="32"/>
        <v>0</v>
      </c>
    </row>
    <row r="239" spans="3:12" x14ac:dyDescent="0.25">
      <c r="C239" s="255"/>
      <c r="D239" s="256"/>
      <c r="E239" s="257"/>
      <c r="F239" s="257"/>
      <c r="G239" s="258"/>
      <c r="H239" s="243"/>
      <c r="I239" s="260"/>
      <c r="J239" s="288">
        <f t="shared" si="30"/>
        <v>0</v>
      </c>
      <c r="K239" s="289">
        <f t="shared" si="31"/>
        <v>0</v>
      </c>
      <c r="L239" s="290">
        <f t="shared" si="32"/>
        <v>0</v>
      </c>
    </row>
    <row r="240" spans="3:12" x14ac:dyDescent="0.25">
      <c r="C240" s="255"/>
      <c r="D240" s="256"/>
      <c r="E240" s="257"/>
      <c r="F240" s="257"/>
      <c r="G240" s="258"/>
      <c r="H240" s="243"/>
      <c r="I240" s="260"/>
      <c r="J240" s="288">
        <f t="shared" si="30"/>
        <v>0</v>
      </c>
      <c r="K240" s="289">
        <f t="shared" si="31"/>
        <v>0</v>
      </c>
      <c r="L240" s="290">
        <f t="shared" si="32"/>
        <v>0</v>
      </c>
    </row>
    <row r="241" spans="3:12" x14ac:dyDescent="0.25">
      <c r="C241" s="255"/>
      <c r="D241" s="256"/>
      <c r="E241" s="257"/>
      <c r="F241" s="257"/>
      <c r="G241" s="258"/>
      <c r="H241" s="243"/>
      <c r="I241" s="260"/>
      <c r="J241" s="288">
        <f t="shared" si="30"/>
        <v>0</v>
      </c>
      <c r="K241" s="289">
        <f t="shared" si="31"/>
        <v>0</v>
      </c>
      <c r="L241" s="290">
        <f t="shared" si="32"/>
        <v>0</v>
      </c>
    </row>
    <row r="242" spans="3:12" x14ac:dyDescent="0.25">
      <c r="C242" s="255"/>
      <c r="D242" s="256"/>
      <c r="E242" s="257"/>
      <c r="F242" s="257"/>
      <c r="G242" s="258"/>
      <c r="H242" s="243"/>
      <c r="I242" s="260"/>
      <c r="J242" s="288">
        <f t="shared" si="30"/>
        <v>0</v>
      </c>
      <c r="K242" s="289">
        <f t="shared" si="31"/>
        <v>0</v>
      </c>
      <c r="L242" s="290">
        <f t="shared" si="32"/>
        <v>0</v>
      </c>
    </row>
    <row r="243" spans="3:12" x14ac:dyDescent="0.25">
      <c r="C243" s="255"/>
      <c r="D243" s="256"/>
      <c r="E243" s="257"/>
      <c r="F243" s="257"/>
      <c r="G243" s="258"/>
      <c r="H243" s="243"/>
      <c r="I243" s="260"/>
      <c r="J243" s="288">
        <f t="shared" si="30"/>
        <v>0</v>
      </c>
      <c r="K243" s="289">
        <f t="shared" si="31"/>
        <v>0</v>
      </c>
      <c r="L243" s="290">
        <f t="shared" si="32"/>
        <v>0</v>
      </c>
    </row>
    <row r="244" spans="3:12" x14ac:dyDescent="0.25">
      <c r="C244" s="255"/>
      <c r="D244" s="256"/>
      <c r="E244" s="257"/>
      <c r="F244" s="257"/>
      <c r="G244" s="258"/>
      <c r="H244" s="243"/>
      <c r="I244" s="260"/>
      <c r="J244" s="288">
        <f t="shared" si="30"/>
        <v>0</v>
      </c>
      <c r="K244" s="289">
        <f t="shared" si="31"/>
        <v>0</v>
      </c>
      <c r="L244" s="290">
        <f t="shared" si="32"/>
        <v>0</v>
      </c>
    </row>
    <row r="245" spans="3:12" x14ac:dyDescent="0.25">
      <c r="C245" s="255"/>
      <c r="D245" s="256"/>
      <c r="E245" s="257"/>
      <c r="F245" s="257"/>
      <c r="G245" s="258"/>
      <c r="H245" s="243"/>
      <c r="I245" s="260"/>
      <c r="J245" s="288">
        <f t="shared" si="30"/>
        <v>0</v>
      </c>
      <c r="K245" s="289">
        <f t="shared" si="31"/>
        <v>0</v>
      </c>
      <c r="L245" s="290">
        <f t="shared" si="32"/>
        <v>0</v>
      </c>
    </row>
    <row r="246" spans="3:12" x14ac:dyDescent="0.25">
      <c r="C246" s="255"/>
      <c r="D246" s="256"/>
      <c r="E246" s="257"/>
      <c r="F246" s="257"/>
      <c r="G246" s="258"/>
      <c r="H246" s="243"/>
      <c r="I246" s="260"/>
      <c r="J246" s="288">
        <f t="shared" si="30"/>
        <v>0</v>
      </c>
      <c r="K246" s="289">
        <f t="shared" si="31"/>
        <v>0</v>
      </c>
      <c r="L246" s="290">
        <f t="shared" si="32"/>
        <v>0</v>
      </c>
    </row>
    <row r="247" spans="3:12" x14ac:dyDescent="0.25">
      <c r="C247" s="255"/>
      <c r="D247" s="256"/>
      <c r="E247" s="257"/>
      <c r="F247" s="257"/>
      <c r="G247" s="258"/>
      <c r="H247" s="243"/>
      <c r="I247" s="260"/>
      <c r="J247" s="288">
        <f t="shared" si="30"/>
        <v>0</v>
      </c>
      <c r="K247" s="289">
        <f t="shared" si="31"/>
        <v>0</v>
      </c>
      <c r="L247" s="290">
        <f t="shared" si="32"/>
        <v>0</v>
      </c>
    </row>
    <row r="248" spans="3:12" x14ac:dyDescent="0.25">
      <c r="C248" s="255"/>
      <c r="D248" s="256"/>
      <c r="E248" s="257"/>
      <c r="F248" s="257"/>
      <c r="G248" s="258"/>
      <c r="H248" s="243"/>
      <c r="I248" s="260"/>
      <c r="J248" s="288">
        <f t="shared" si="30"/>
        <v>0</v>
      </c>
      <c r="K248" s="289">
        <f t="shared" si="31"/>
        <v>0</v>
      </c>
      <c r="L248" s="290">
        <f t="shared" si="32"/>
        <v>0</v>
      </c>
    </row>
    <row r="249" spans="3:12" x14ac:dyDescent="0.25">
      <c r="C249" s="255"/>
      <c r="D249" s="256"/>
      <c r="E249" s="257"/>
      <c r="F249" s="257"/>
      <c r="G249" s="258"/>
      <c r="H249" s="243"/>
      <c r="I249" s="260"/>
      <c r="J249" s="288">
        <f t="shared" ref="J249:J312" si="33">IFERROR(IF(E249="Commercial",VLOOKUP(D249,$N$40:$P$46,3,FALSE),VLOOKUP(E249,$N$18:$P$24,3,FALSE)),0)</f>
        <v>0</v>
      </c>
      <c r="K249" s="289">
        <f t="shared" ref="K249:K312" si="34">J249-H249</f>
        <v>0</v>
      </c>
      <c r="L249" s="290">
        <f t="shared" si="32"/>
        <v>0</v>
      </c>
    </row>
    <row r="250" spans="3:12" x14ac:dyDescent="0.25">
      <c r="C250" s="255"/>
      <c r="D250" s="256"/>
      <c r="E250" s="257"/>
      <c r="F250" s="257"/>
      <c r="G250" s="258"/>
      <c r="H250" s="243"/>
      <c r="I250" s="260"/>
      <c r="J250" s="288">
        <f t="shared" si="33"/>
        <v>0</v>
      </c>
      <c r="K250" s="289">
        <f t="shared" si="34"/>
        <v>0</v>
      </c>
      <c r="L250" s="290">
        <f t="shared" si="32"/>
        <v>0</v>
      </c>
    </row>
    <row r="251" spans="3:12" x14ac:dyDescent="0.25">
      <c r="C251" s="255"/>
      <c r="D251" s="256"/>
      <c r="E251" s="257"/>
      <c r="F251" s="257"/>
      <c r="G251" s="258"/>
      <c r="H251" s="243"/>
      <c r="I251" s="260"/>
      <c r="J251" s="288">
        <f t="shared" si="33"/>
        <v>0</v>
      </c>
      <c r="K251" s="289">
        <f t="shared" si="34"/>
        <v>0</v>
      </c>
      <c r="L251" s="290">
        <f t="shared" si="32"/>
        <v>0</v>
      </c>
    </row>
    <row r="252" spans="3:12" x14ac:dyDescent="0.25">
      <c r="C252" s="255"/>
      <c r="D252" s="256"/>
      <c r="E252" s="257"/>
      <c r="F252" s="257"/>
      <c r="G252" s="258"/>
      <c r="H252" s="243"/>
      <c r="I252" s="260"/>
      <c r="J252" s="288">
        <f t="shared" si="33"/>
        <v>0</v>
      </c>
      <c r="K252" s="289">
        <f t="shared" si="34"/>
        <v>0</v>
      </c>
      <c r="L252" s="290">
        <f t="shared" si="32"/>
        <v>0</v>
      </c>
    </row>
    <row r="253" spans="3:12" x14ac:dyDescent="0.25">
      <c r="C253" s="255"/>
      <c r="D253" s="256"/>
      <c r="E253" s="257"/>
      <c r="F253" s="257"/>
      <c r="G253" s="258"/>
      <c r="H253" s="243"/>
      <c r="I253" s="260"/>
      <c r="J253" s="288">
        <f t="shared" si="33"/>
        <v>0</v>
      </c>
      <c r="K253" s="289">
        <f t="shared" si="34"/>
        <v>0</v>
      </c>
      <c r="L253" s="290">
        <f t="shared" si="32"/>
        <v>0</v>
      </c>
    </row>
    <row r="254" spans="3:12" x14ac:dyDescent="0.25">
      <c r="C254" s="255"/>
      <c r="D254" s="256"/>
      <c r="E254" s="257"/>
      <c r="F254" s="257"/>
      <c r="G254" s="258"/>
      <c r="H254" s="243"/>
      <c r="I254" s="260"/>
      <c r="J254" s="288">
        <f t="shared" si="33"/>
        <v>0</v>
      </c>
      <c r="K254" s="289">
        <f t="shared" si="34"/>
        <v>0</v>
      </c>
      <c r="L254" s="290">
        <f t="shared" si="32"/>
        <v>0</v>
      </c>
    </row>
    <row r="255" spans="3:12" x14ac:dyDescent="0.25">
      <c r="C255" s="255"/>
      <c r="D255" s="256"/>
      <c r="E255" s="257"/>
      <c r="F255" s="257"/>
      <c r="G255" s="258"/>
      <c r="H255" s="243"/>
      <c r="I255" s="260"/>
      <c r="J255" s="288">
        <f t="shared" si="33"/>
        <v>0</v>
      </c>
      <c r="K255" s="289">
        <f t="shared" si="34"/>
        <v>0</v>
      </c>
      <c r="L255" s="290">
        <f t="shared" si="32"/>
        <v>0</v>
      </c>
    </row>
    <row r="256" spans="3:12" x14ac:dyDescent="0.25">
      <c r="C256" s="255"/>
      <c r="D256" s="256"/>
      <c r="E256" s="257"/>
      <c r="F256" s="257"/>
      <c r="G256" s="258"/>
      <c r="H256" s="243"/>
      <c r="I256" s="260"/>
      <c r="J256" s="288">
        <f t="shared" si="33"/>
        <v>0</v>
      </c>
      <c r="K256" s="289">
        <f t="shared" si="34"/>
        <v>0</v>
      </c>
      <c r="L256" s="290">
        <f t="shared" si="32"/>
        <v>0</v>
      </c>
    </row>
    <row r="257" spans="3:12" x14ac:dyDescent="0.25">
      <c r="C257" s="255"/>
      <c r="D257" s="256"/>
      <c r="E257" s="257"/>
      <c r="F257" s="257"/>
      <c r="G257" s="258"/>
      <c r="H257" s="243"/>
      <c r="I257" s="260"/>
      <c r="J257" s="288">
        <f t="shared" si="33"/>
        <v>0</v>
      </c>
      <c r="K257" s="289">
        <f t="shared" si="34"/>
        <v>0</v>
      </c>
      <c r="L257" s="290">
        <f t="shared" si="32"/>
        <v>0</v>
      </c>
    </row>
    <row r="258" spans="3:12" x14ac:dyDescent="0.25">
      <c r="C258" s="255"/>
      <c r="D258" s="256"/>
      <c r="E258" s="257"/>
      <c r="F258" s="257"/>
      <c r="G258" s="258"/>
      <c r="H258" s="243"/>
      <c r="I258" s="260"/>
      <c r="J258" s="288">
        <f t="shared" si="33"/>
        <v>0</v>
      </c>
      <c r="K258" s="289">
        <f t="shared" si="34"/>
        <v>0</v>
      </c>
      <c r="L258" s="290">
        <f t="shared" si="32"/>
        <v>0</v>
      </c>
    </row>
    <row r="259" spans="3:12" x14ac:dyDescent="0.25">
      <c r="C259" s="255"/>
      <c r="D259" s="256"/>
      <c r="E259" s="257"/>
      <c r="F259" s="257"/>
      <c r="G259" s="258"/>
      <c r="H259" s="243"/>
      <c r="I259" s="260"/>
      <c r="J259" s="288">
        <f t="shared" si="33"/>
        <v>0</v>
      </c>
      <c r="K259" s="289">
        <f t="shared" si="34"/>
        <v>0</v>
      </c>
      <c r="L259" s="290">
        <f t="shared" si="32"/>
        <v>0</v>
      </c>
    </row>
    <row r="260" spans="3:12" x14ac:dyDescent="0.25">
      <c r="C260" s="255"/>
      <c r="D260" s="256"/>
      <c r="E260" s="257"/>
      <c r="F260" s="257"/>
      <c r="G260" s="258"/>
      <c r="H260" s="243"/>
      <c r="I260" s="260"/>
      <c r="J260" s="288">
        <f t="shared" si="33"/>
        <v>0</v>
      </c>
      <c r="K260" s="289">
        <f t="shared" si="34"/>
        <v>0</v>
      </c>
      <c r="L260" s="290">
        <f t="shared" si="32"/>
        <v>0</v>
      </c>
    </row>
    <row r="261" spans="3:12" x14ac:dyDescent="0.25">
      <c r="C261" s="255"/>
      <c r="D261" s="256"/>
      <c r="E261" s="257"/>
      <c r="F261" s="257"/>
      <c r="G261" s="258"/>
      <c r="H261" s="243"/>
      <c r="I261" s="260"/>
      <c r="J261" s="288">
        <f t="shared" si="33"/>
        <v>0</v>
      </c>
      <c r="K261" s="289">
        <f t="shared" si="34"/>
        <v>0</v>
      </c>
      <c r="L261" s="290">
        <f t="shared" si="32"/>
        <v>0</v>
      </c>
    </row>
    <row r="262" spans="3:12" x14ac:dyDescent="0.25">
      <c r="C262" s="255"/>
      <c r="D262" s="256"/>
      <c r="E262" s="257"/>
      <c r="F262" s="257"/>
      <c r="G262" s="258"/>
      <c r="H262" s="243"/>
      <c r="I262" s="260"/>
      <c r="J262" s="288">
        <f t="shared" si="33"/>
        <v>0</v>
      </c>
      <c r="K262" s="289">
        <f t="shared" si="34"/>
        <v>0</v>
      </c>
      <c r="L262" s="290">
        <f t="shared" si="32"/>
        <v>0</v>
      </c>
    </row>
    <row r="263" spans="3:12" x14ac:dyDescent="0.25">
      <c r="C263" s="255"/>
      <c r="D263" s="256"/>
      <c r="E263" s="257"/>
      <c r="F263" s="257"/>
      <c r="G263" s="258"/>
      <c r="H263" s="243"/>
      <c r="I263" s="260"/>
      <c r="J263" s="288">
        <f t="shared" si="33"/>
        <v>0</v>
      </c>
      <c r="K263" s="289">
        <f t="shared" si="34"/>
        <v>0</v>
      </c>
      <c r="L263" s="290">
        <f t="shared" si="32"/>
        <v>0</v>
      </c>
    </row>
    <row r="264" spans="3:12" x14ac:dyDescent="0.25">
      <c r="C264" s="255"/>
      <c r="D264" s="256"/>
      <c r="E264" s="257"/>
      <c r="F264" s="257"/>
      <c r="G264" s="258"/>
      <c r="H264" s="243"/>
      <c r="I264" s="260"/>
      <c r="J264" s="288">
        <f t="shared" si="33"/>
        <v>0</v>
      </c>
      <c r="K264" s="289">
        <f t="shared" si="34"/>
        <v>0</v>
      </c>
      <c r="L264" s="290">
        <f t="shared" si="32"/>
        <v>0</v>
      </c>
    </row>
    <row r="265" spans="3:12" x14ac:dyDescent="0.25">
      <c r="C265" s="255"/>
      <c r="D265" s="256"/>
      <c r="E265" s="257"/>
      <c r="F265" s="257"/>
      <c r="G265" s="258"/>
      <c r="H265" s="243"/>
      <c r="I265" s="260"/>
      <c r="J265" s="288">
        <f t="shared" si="33"/>
        <v>0</v>
      </c>
      <c r="K265" s="289">
        <f t="shared" si="34"/>
        <v>0</v>
      </c>
      <c r="L265" s="290">
        <f t="shared" ref="L265:L328" si="35">IFERROR(IF(J265&gt;0,K265/H265,0),0)</f>
        <v>0</v>
      </c>
    </row>
    <row r="266" spans="3:12" x14ac:dyDescent="0.25">
      <c r="C266" s="255"/>
      <c r="D266" s="256"/>
      <c r="E266" s="257"/>
      <c r="F266" s="257"/>
      <c r="G266" s="258"/>
      <c r="H266" s="243"/>
      <c r="I266" s="260"/>
      <c r="J266" s="288">
        <f t="shared" si="33"/>
        <v>0</v>
      </c>
      <c r="K266" s="289">
        <f t="shared" si="34"/>
        <v>0</v>
      </c>
      <c r="L266" s="290">
        <f t="shared" si="35"/>
        <v>0</v>
      </c>
    </row>
    <row r="267" spans="3:12" x14ac:dyDescent="0.25">
      <c r="C267" s="255"/>
      <c r="D267" s="256"/>
      <c r="E267" s="257"/>
      <c r="F267" s="257"/>
      <c r="G267" s="258"/>
      <c r="H267" s="243"/>
      <c r="I267" s="260"/>
      <c r="J267" s="288">
        <f t="shared" si="33"/>
        <v>0</v>
      </c>
      <c r="K267" s="289">
        <f t="shared" si="34"/>
        <v>0</v>
      </c>
      <c r="L267" s="290">
        <f t="shared" si="35"/>
        <v>0</v>
      </c>
    </row>
    <row r="268" spans="3:12" x14ac:dyDescent="0.25">
      <c r="C268" s="255"/>
      <c r="D268" s="256"/>
      <c r="E268" s="257"/>
      <c r="F268" s="257"/>
      <c r="G268" s="258"/>
      <c r="H268" s="243"/>
      <c r="I268" s="260"/>
      <c r="J268" s="288">
        <f t="shared" si="33"/>
        <v>0</v>
      </c>
      <c r="K268" s="289">
        <f t="shared" si="34"/>
        <v>0</v>
      </c>
      <c r="L268" s="290">
        <f t="shared" si="35"/>
        <v>0</v>
      </c>
    </row>
    <row r="269" spans="3:12" x14ac:dyDescent="0.25">
      <c r="C269" s="255"/>
      <c r="D269" s="256"/>
      <c r="E269" s="257"/>
      <c r="F269" s="257"/>
      <c r="G269" s="258"/>
      <c r="H269" s="243"/>
      <c r="I269" s="260"/>
      <c r="J269" s="288">
        <f t="shared" si="33"/>
        <v>0</v>
      </c>
      <c r="K269" s="289">
        <f t="shared" si="34"/>
        <v>0</v>
      </c>
      <c r="L269" s="290">
        <f t="shared" si="35"/>
        <v>0</v>
      </c>
    </row>
    <row r="270" spans="3:12" x14ac:dyDescent="0.25">
      <c r="C270" s="255"/>
      <c r="D270" s="256"/>
      <c r="E270" s="257"/>
      <c r="F270" s="257"/>
      <c r="G270" s="258"/>
      <c r="H270" s="243"/>
      <c r="I270" s="260"/>
      <c r="J270" s="288">
        <f t="shared" si="33"/>
        <v>0</v>
      </c>
      <c r="K270" s="289">
        <f t="shared" si="34"/>
        <v>0</v>
      </c>
      <c r="L270" s="290">
        <f t="shared" si="35"/>
        <v>0</v>
      </c>
    </row>
    <row r="271" spans="3:12" x14ac:dyDescent="0.25">
      <c r="C271" s="255"/>
      <c r="D271" s="256"/>
      <c r="E271" s="257"/>
      <c r="F271" s="257"/>
      <c r="G271" s="258"/>
      <c r="H271" s="243"/>
      <c r="I271" s="260"/>
      <c r="J271" s="288">
        <f t="shared" si="33"/>
        <v>0</v>
      </c>
      <c r="K271" s="289">
        <f t="shared" si="34"/>
        <v>0</v>
      </c>
      <c r="L271" s="290">
        <f t="shared" si="35"/>
        <v>0</v>
      </c>
    </row>
    <row r="272" spans="3:12" x14ac:dyDescent="0.25">
      <c r="C272" s="255"/>
      <c r="D272" s="256"/>
      <c r="E272" s="257"/>
      <c r="F272" s="257"/>
      <c r="G272" s="258"/>
      <c r="H272" s="243"/>
      <c r="I272" s="260"/>
      <c r="J272" s="288">
        <f t="shared" si="33"/>
        <v>0</v>
      </c>
      <c r="K272" s="289">
        <f t="shared" si="34"/>
        <v>0</v>
      </c>
      <c r="L272" s="290">
        <f t="shared" si="35"/>
        <v>0</v>
      </c>
    </row>
    <row r="273" spans="3:12" x14ac:dyDescent="0.25">
      <c r="C273" s="255"/>
      <c r="D273" s="256"/>
      <c r="E273" s="257"/>
      <c r="F273" s="257"/>
      <c r="G273" s="258"/>
      <c r="H273" s="243"/>
      <c r="I273" s="260"/>
      <c r="J273" s="288">
        <f t="shared" si="33"/>
        <v>0</v>
      </c>
      <c r="K273" s="289">
        <f t="shared" si="34"/>
        <v>0</v>
      </c>
      <c r="L273" s="290">
        <f t="shared" si="35"/>
        <v>0</v>
      </c>
    </row>
    <row r="274" spans="3:12" x14ac:dyDescent="0.25">
      <c r="C274" s="255"/>
      <c r="D274" s="256"/>
      <c r="E274" s="257"/>
      <c r="F274" s="257"/>
      <c r="G274" s="258"/>
      <c r="H274" s="243"/>
      <c r="I274" s="260"/>
      <c r="J274" s="288">
        <f t="shared" si="33"/>
        <v>0</v>
      </c>
      <c r="K274" s="289">
        <f t="shared" si="34"/>
        <v>0</v>
      </c>
      <c r="L274" s="290">
        <f t="shared" si="35"/>
        <v>0</v>
      </c>
    </row>
    <row r="275" spans="3:12" x14ac:dyDescent="0.25">
      <c r="C275" s="255"/>
      <c r="D275" s="256"/>
      <c r="E275" s="257"/>
      <c r="F275" s="257"/>
      <c r="G275" s="258"/>
      <c r="H275" s="243"/>
      <c r="I275" s="260"/>
      <c r="J275" s="288">
        <f t="shared" si="33"/>
        <v>0</v>
      </c>
      <c r="K275" s="289">
        <f t="shared" si="34"/>
        <v>0</v>
      </c>
      <c r="L275" s="290">
        <f t="shared" si="35"/>
        <v>0</v>
      </c>
    </row>
    <row r="276" spans="3:12" x14ac:dyDescent="0.25">
      <c r="C276" s="255"/>
      <c r="D276" s="256"/>
      <c r="E276" s="257"/>
      <c r="F276" s="257"/>
      <c r="G276" s="258"/>
      <c r="H276" s="243"/>
      <c r="I276" s="260"/>
      <c r="J276" s="288">
        <f t="shared" si="33"/>
        <v>0</v>
      </c>
      <c r="K276" s="289">
        <f t="shared" si="34"/>
        <v>0</v>
      </c>
      <c r="L276" s="290">
        <f t="shared" si="35"/>
        <v>0</v>
      </c>
    </row>
    <row r="277" spans="3:12" x14ac:dyDescent="0.25">
      <c r="C277" s="255"/>
      <c r="D277" s="256"/>
      <c r="E277" s="257"/>
      <c r="F277" s="257"/>
      <c r="G277" s="258"/>
      <c r="H277" s="243"/>
      <c r="I277" s="260"/>
      <c r="J277" s="288">
        <f t="shared" si="33"/>
        <v>0</v>
      </c>
      <c r="K277" s="289">
        <f t="shared" si="34"/>
        <v>0</v>
      </c>
      <c r="L277" s="290">
        <f t="shared" si="35"/>
        <v>0</v>
      </c>
    </row>
    <row r="278" spans="3:12" x14ac:dyDescent="0.25">
      <c r="C278" s="255"/>
      <c r="D278" s="256"/>
      <c r="E278" s="257"/>
      <c r="F278" s="257"/>
      <c r="G278" s="258"/>
      <c r="H278" s="243"/>
      <c r="I278" s="260"/>
      <c r="J278" s="288">
        <f t="shared" si="33"/>
        <v>0</v>
      </c>
      <c r="K278" s="289">
        <f t="shared" si="34"/>
        <v>0</v>
      </c>
      <c r="L278" s="290">
        <f t="shared" si="35"/>
        <v>0</v>
      </c>
    </row>
    <row r="279" spans="3:12" x14ac:dyDescent="0.25">
      <c r="C279" s="255"/>
      <c r="D279" s="256"/>
      <c r="E279" s="257"/>
      <c r="F279" s="257"/>
      <c r="G279" s="258"/>
      <c r="H279" s="243"/>
      <c r="I279" s="260"/>
      <c r="J279" s="288">
        <f t="shared" si="33"/>
        <v>0</v>
      </c>
      <c r="K279" s="289">
        <f t="shared" si="34"/>
        <v>0</v>
      </c>
      <c r="L279" s="290">
        <f t="shared" si="35"/>
        <v>0</v>
      </c>
    </row>
    <row r="280" spans="3:12" x14ac:dyDescent="0.25">
      <c r="C280" s="255"/>
      <c r="D280" s="256"/>
      <c r="E280" s="257"/>
      <c r="F280" s="257"/>
      <c r="G280" s="258"/>
      <c r="H280" s="243"/>
      <c r="I280" s="260"/>
      <c r="J280" s="288">
        <f t="shared" si="33"/>
        <v>0</v>
      </c>
      <c r="K280" s="289">
        <f t="shared" si="34"/>
        <v>0</v>
      </c>
      <c r="L280" s="290">
        <f t="shared" si="35"/>
        <v>0</v>
      </c>
    </row>
    <row r="281" spans="3:12" x14ac:dyDescent="0.25">
      <c r="C281" s="255"/>
      <c r="D281" s="256"/>
      <c r="E281" s="257"/>
      <c r="F281" s="257"/>
      <c r="G281" s="258"/>
      <c r="H281" s="243"/>
      <c r="I281" s="260"/>
      <c r="J281" s="288">
        <f t="shared" si="33"/>
        <v>0</v>
      </c>
      <c r="K281" s="289">
        <f t="shared" si="34"/>
        <v>0</v>
      </c>
      <c r="L281" s="290">
        <f t="shared" si="35"/>
        <v>0</v>
      </c>
    </row>
    <row r="282" spans="3:12" x14ac:dyDescent="0.25">
      <c r="C282" s="255"/>
      <c r="D282" s="256"/>
      <c r="E282" s="257"/>
      <c r="F282" s="257"/>
      <c r="G282" s="258"/>
      <c r="H282" s="243"/>
      <c r="I282" s="260"/>
      <c r="J282" s="288">
        <f t="shared" si="33"/>
        <v>0</v>
      </c>
      <c r="K282" s="289">
        <f t="shared" si="34"/>
        <v>0</v>
      </c>
      <c r="L282" s="290">
        <f t="shared" si="35"/>
        <v>0</v>
      </c>
    </row>
    <row r="283" spans="3:12" x14ac:dyDescent="0.25">
      <c r="C283" s="255"/>
      <c r="D283" s="256"/>
      <c r="E283" s="257"/>
      <c r="F283" s="257"/>
      <c r="G283" s="258"/>
      <c r="H283" s="243"/>
      <c r="I283" s="260"/>
      <c r="J283" s="288">
        <f t="shared" si="33"/>
        <v>0</v>
      </c>
      <c r="K283" s="289">
        <f t="shared" si="34"/>
        <v>0</v>
      </c>
      <c r="L283" s="290">
        <f t="shared" si="35"/>
        <v>0</v>
      </c>
    </row>
    <row r="284" spans="3:12" x14ac:dyDescent="0.25">
      <c r="C284" s="255"/>
      <c r="D284" s="256"/>
      <c r="E284" s="257"/>
      <c r="F284" s="257"/>
      <c r="G284" s="258"/>
      <c r="H284" s="243"/>
      <c r="I284" s="260"/>
      <c r="J284" s="288">
        <f t="shared" si="33"/>
        <v>0</v>
      </c>
      <c r="K284" s="289">
        <f t="shared" si="34"/>
        <v>0</v>
      </c>
      <c r="L284" s="290">
        <f t="shared" si="35"/>
        <v>0</v>
      </c>
    </row>
    <row r="285" spans="3:12" x14ac:dyDescent="0.25">
      <c r="C285" s="255"/>
      <c r="D285" s="256"/>
      <c r="E285" s="257"/>
      <c r="F285" s="257"/>
      <c r="G285" s="258"/>
      <c r="H285" s="243"/>
      <c r="I285" s="260"/>
      <c r="J285" s="288">
        <f t="shared" si="33"/>
        <v>0</v>
      </c>
      <c r="K285" s="289">
        <f t="shared" si="34"/>
        <v>0</v>
      </c>
      <c r="L285" s="290">
        <f t="shared" si="35"/>
        <v>0</v>
      </c>
    </row>
    <row r="286" spans="3:12" x14ac:dyDescent="0.25">
      <c r="C286" s="255"/>
      <c r="D286" s="256"/>
      <c r="E286" s="257"/>
      <c r="F286" s="257"/>
      <c r="G286" s="258"/>
      <c r="H286" s="243"/>
      <c r="I286" s="260"/>
      <c r="J286" s="288">
        <f t="shared" si="33"/>
        <v>0</v>
      </c>
      <c r="K286" s="289">
        <f t="shared" si="34"/>
        <v>0</v>
      </c>
      <c r="L286" s="290">
        <f t="shared" si="35"/>
        <v>0</v>
      </c>
    </row>
    <row r="287" spans="3:12" x14ac:dyDescent="0.25">
      <c r="C287" s="255"/>
      <c r="D287" s="256"/>
      <c r="E287" s="257"/>
      <c r="F287" s="257"/>
      <c r="G287" s="258"/>
      <c r="H287" s="243"/>
      <c r="I287" s="260"/>
      <c r="J287" s="288">
        <f t="shared" si="33"/>
        <v>0</v>
      </c>
      <c r="K287" s="289">
        <f t="shared" si="34"/>
        <v>0</v>
      </c>
      <c r="L287" s="290">
        <f t="shared" si="35"/>
        <v>0</v>
      </c>
    </row>
    <row r="288" spans="3:12" x14ac:dyDescent="0.25">
      <c r="C288" s="255"/>
      <c r="D288" s="256"/>
      <c r="E288" s="257"/>
      <c r="F288" s="257"/>
      <c r="G288" s="258"/>
      <c r="H288" s="243"/>
      <c r="I288" s="260"/>
      <c r="J288" s="288">
        <f t="shared" si="33"/>
        <v>0</v>
      </c>
      <c r="K288" s="289">
        <f t="shared" si="34"/>
        <v>0</v>
      </c>
      <c r="L288" s="290">
        <f t="shared" si="35"/>
        <v>0</v>
      </c>
    </row>
    <row r="289" spans="3:12" x14ac:dyDescent="0.25">
      <c r="C289" s="255"/>
      <c r="D289" s="256"/>
      <c r="E289" s="257"/>
      <c r="F289" s="257"/>
      <c r="G289" s="258"/>
      <c r="H289" s="243"/>
      <c r="I289" s="260"/>
      <c r="J289" s="288">
        <f t="shared" si="33"/>
        <v>0</v>
      </c>
      <c r="K289" s="289">
        <f t="shared" si="34"/>
        <v>0</v>
      </c>
      <c r="L289" s="290">
        <f t="shared" si="35"/>
        <v>0</v>
      </c>
    </row>
    <row r="290" spans="3:12" x14ac:dyDescent="0.25">
      <c r="C290" s="255"/>
      <c r="D290" s="256"/>
      <c r="E290" s="257"/>
      <c r="F290" s="257"/>
      <c r="G290" s="258"/>
      <c r="H290" s="243"/>
      <c r="I290" s="260"/>
      <c r="J290" s="288">
        <f t="shared" si="33"/>
        <v>0</v>
      </c>
      <c r="K290" s="289">
        <f t="shared" si="34"/>
        <v>0</v>
      </c>
      <c r="L290" s="290">
        <f t="shared" si="35"/>
        <v>0</v>
      </c>
    </row>
    <row r="291" spans="3:12" x14ac:dyDescent="0.25">
      <c r="C291" s="255"/>
      <c r="D291" s="256"/>
      <c r="E291" s="257"/>
      <c r="F291" s="257"/>
      <c r="G291" s="258"/>
      <c r="H291" s="243"/>
      <c r="I291" s="260"/>
      <c r="J291" s="288">
        <f t="shared" si="33"/>
        <v>0</v>
      </c>
      <c r="K291" s="289">
        <f t="shared" si="34"/>
        <v>0</v>
      </c>
      <c r="L291" s="290">
        <f t="shared" si="35"/>
        <v>0</v>
      </c>
    </row>
    <row r="292" spans="3:12" x14ac:dyDescent="0.25">
      <c r="C292" s="255"/>
      <c r="D292" s="256"/>
      <c r="E292" s="257"/>
      <c r="F292" s="257"/>
      <c r="G292" s="258"/>
      <c r="H292" s="243"/>
      <c r="I292" s="260"/>
      <c r="J292" s="288">
        <f t="shared" si="33"/>
        <v>0</v>
      </c>
      <c r="K292" s="289">
        <f t="shared" si="34"/>
        <v>0</v>
      </c>
      <c r="L292" s="290">
        <f t="shared" si="35"/>
        <v>0</v>
      </c>
    </row>
    <row r="293" spans="3:12" x14ac:dyDescent="0.25">
      <c r="C293" s="255"/>
      <c r="D293" s="256"/>
      <c r="E293" s="257"/>
      <c r="F293" s="257"/>
      <c r="G293" s="258"/>
      <c r="H293" s="243"/>
      <c r="I293" s="260"/>
      <c r="J293" s="288">
        <f t="shared" si="33"/>
        <v>0</v>
      </c>
      <c r="K293" s="289">
        <f t="shared" si="34"/>
        <v>0</v>
      </c>
      <c r="L293" s="290">
        <f t="shared" si="35"/>
        <v>0</v>
      </c>
    </row>
    <row r="294" spans="3:12" x14ac:dyDescent="0.25">
      <c r="C294" s="255"/>
      <c r="D294" s="256"/>
      <c r="E294" s="257"/>
      <c r="F294" s="257"/>
      <c r="G294" s="258"/>
      <c r="H294" s="243"/>
      <c r="I294" s="260"/>
      <c r="J294" s="288">
        <f t="shared" si="33"/>
        <v>0</v>
      </c>
      <c r="K294" s="289">
        <f t="shared" si="34"/>
        <v>0</v>
      </c>
      <c r="L294" s="290">
        <f t="shared" si="35"/>
        <v>0</v>
      </c>
    </row>
    <row r="295" spans="3:12" x14ac:dyDescent="0.25">
      <c r="C295" s="255"/>
      <c r="D295" s="256"/>
      <c r="E295" s="257"/>
      <c r="F295" s="257"/>
      <c r="G295" s="258"/>
      <c r="H295" s="243"/>
      <c r="I295" s="260"/>
      <c r="J295" s="288">
        <f t="shared" si="33"/>
        <v>0</v>
      </c>
      <c r="K295" s="289">
        <f t="shared" si="34"/>
        <v>0</v>
      </c>
      <c r="L295" s="290">
        <f t="shared" si="35"/>
        <v>0</v>
      </c>
    </row>
    <row r="296" spans="3:12" x14ac:dyDescent="0.25">
      <c r="C296" s="255"/>
      <c r="D296" s="256"/>
      <c r="E296" s="257"/>
      <c r="F296" s="257"/>
      <c r="G296" s="258"/>
      <c r="H296" s="243"/>
      <c r="I296" s="260"/>
      <c r="J296" s="288">
        <f t="shared" si="33"/>
        <v>0</v>
      </c>
      <c r="K296" s="289">
        <f t="shared" si="34"/>
        <v>0</v>
      </c>
      <c r="L296" s="290">
        <f t="shared" si="35"/>
        <v>0</v>
      </c>
    </row>
    <row r="297" spans="3:12" x14ac:dyDescent="0.25">
      <c r="C297" s="255"/>
      <c r="D297" s="256"/>
      <c r="E297" s="257"/>
      <c r="F297" s="257"/>
      <c r="G297" s="258"/>
      <c r="H297" s="243"/>
      <c r="I297" s="260"/>
      <c r="J297" s="288">
        <f t="shared" si="33"/>
        <v>0</v>
      </c>
      <c r="K297" s="289">
        <f t="shared" si="34"/>
        <v>0</v>
      </c>
      <c r="L297" s="290">
        <f t="shared" si="35"/>
        <v>0</v>
      </c>
    </row>
    <row r="298" spans="3:12" x14ac:dyDescent="0.25">
      <c r="C298" s="255"/>
      <c r="D298" s="256"/>
      <c r="E298" s="257"/>
      <c r="F298" s="257"/>
      <c r="G298" s="258"/>
      <c r="H298" s="243"/>
      <c r="I298" s="260"/>
      <c r="J298" s="288">
        <f t="shared" si="33"/>
        <v>0</v>
      </c>
      <c r="K298" s="289">
        <f t="shared" si="34"/>
        <v>0</v>
      </c>
      <c r="L298" s="290">
        <f t="shared" si="35"/>
        <v>0</v>
      </c>
    </row>
    <row r="299" spans="3:12" x14ac:dyDescent="0.25">
      <c r="C299" s="255"/>
      <c r="D299" s="256"/>
      <c r="E299" s="257"/>
      <c r="F299" s="257"/>
      <c r="G299" s="258"/>
      <c r="H299" s="243"/>
      <c r="I299" s="260"/>
      <c r="J299" s="288">
        <f t="shared" si="33"/>
        <v>0</v>
      </c>
      <c r="K299" s="289">
        <f t="shared" si="34"/>
        <v>0</v>
      </c>
      <c r="L299" s="290">
        <f t="shared" si="35"/>
        <v>0</v>
      </c>
    </row>
    <row r="300" spans="3:12" x14ac:dyDescent="0.25">
      <c r="C300" s="255"/>
      <c r="D300" s="256"/>
      <c r="E300" s="257"/>
      <c r="F300" s="257"/>
      <c r="G300" s="258"/>
      <c r="H300" s="243"/>
      <c r="I300" s="260"/>
      <c r="J300" s="288">
        <f t="shared" si="33"/>
        <v>0</v>
      </c>
      <c r="K300" s="289">
        <f t="shared" si="34"/>
        <v>0</v>
      </c>
      <c r="L300" s="290">
        <f t="shared" si="35"/>
        <v>0</v>
      </c>
    </row>
    <row r="301" spans="3:12" x14ac:dyDescent="0.25">
      <c r="C301" s="255"/>
      <c r="D301" s="256"/>
      <c r="E301" s="257"/>
      <c r="F301" s="257"/>
      <c r="G301" s="258"/>
      <c r="H301" s="243"/>
      <c r="I301" s="260"/>
      <c r="J301" s="288">
        <f t="shared" si="33"/>
        <v>0</v>
      </c>
      <c r="K301" s="289">
        <f t="shared" si="34"/>
        <v>0</v>
      </c>
      <c r="L301" s="290">
        <f t="shared" si="35"/>
        <v>0</v>
      </c>
    </row>
    <row r="302" spans="3:12" x14ac:dyDescent="0.25">
      <c r="C302" s="255"/>
      <c r="D302" s="256"/>
      <c r="E302" s="257"/>
      <c r="F302" s="257"/>
      <c r="G302" s="258"/>
      <c r="H302" s="243"/>
      <c r="I302" s="260"/>
      <c r="J302" s="288">
        <f t="shared" si="33"/>
        <v>0</v>
      </c>
      <c r="K302" s="289">
        <f t="shared" si="34"/>
        <v>0</v>
      </c>
      <c r="L302" s="290">
        <f t="shared" si="35"/>
        <v>0</v>
      </c>
    </row>
    <row r="303" spans="3:12" x14ac:dyDescent="0.25">
      <c r="C303" s="255"/>
      <c r="D303" s="256"/>
      <c r="E303" s="257"/>
      <c r="F303" s="257"/>
      <c r="G303" s="258"/>
      <c r="H303" s="243"/>
      <c r="I303" s="260"/>
      <c r="J303" s="288">
        <f t="shared" si="33"/>
        <v>0</v>
      </c>
      <c r="K303" s="289">
        <f t="shared" si="34"/>
        <v>0</v>
      </c>
      <c r="L303" s="290">
        <f t="shared" si="35"/>
        <v>0</v>
      </c>
    </row>
    <row r="304" spans="3:12" x14ac:dyDescent="0.25">
      <c r="C304" s="255"/>
      <c r="D304" s="256"/>
      <c r="E304" s="257"/>
      <c r="F304" s="257"/>
      <c r="G304" s="258"/>
      <c r="H304" s="243"/>
      <c r="I304" s="260"/>
      <c r="J304" s="288">
        <f t="shared" si="33"/>
        <v>0</v>
      </c>
      <c r="K304" s="289">
        <f t="shared" si="34"/>
        <v>0</v>
      </c>
      <c r="L304" s="290">
        <f t="shared" si="35"/>
        <v>0</v>
      </c>
    </row>
    <row r="305" spans="3:12" x14ac:dyDescent="0.25">
      <c r="C305" s="255"/>
      <c r="D305" s="256"/>
      <c r="E305" s="257"/>
      <c r="F305" s="257"/>
      <c r="G305" s="258"/>
      <c r="H305" s="243"/>
      <c r="I305" s="260"/>
      <c r="J305" s="288">
        <f t="shared" si="33"/>
        <v>0</v>
      </c>
      <c r="K305" s="289">
        <f t="shared" si="34"/>
        <v>0</v>
      </c>
      <c r="L305" s="290">
        <f t="shared" si="35"/>
        <v>0</v>
      </c>
    </row>
    <row r="306" spans="3:12" x14ac:dyDescent="0.25">
      <c r="C306" s="255"/>
      <c r="D306" s="256"/>
      <c r="E306" s="257"/>
      <c r="F306" s="257"/>
      <c r="G306" s="258"/>
      <c r="H306" s="243"/>
      <c r="I306" s="260"/>
      <c r="J306" s="288">
        <f t="shared" si="33"/>
        <v>0</v>
      </c>
      <c r="K306" s="289">
        <f t="shared" si="34"/>
        <v>0</v>
      </c>
      <c r="L306" s="290">
        <f t="shared" si="35"/>
        <v>0</v>
      </c>
    </row>
    <row r="307" spans="3:12" x14ac:dyDescent="0.25">
      <c r="C307" s="255"/>
      <c r="D307" s="256"/>
      <c r="E307" s="257"/>
      <c r="F307" s="257"/>
      <c r="G307" s="258"/>
      <c r="H307" s="243"/>
      <c r="I307" s="260"/>
      <c r="J307" s="288">
        <f t="shared" si="33"/>
        <v>0</v>
      </c>
      <c r="K307" s="289">
        <f t="shared" si="34"/>
        <v>0</v>
      </c>
      <c r="L307" s="290">
        <f t="shared" si="35"/>
        <v>0</v>
      </c>
    </row>
    <row r="308" spans="3:12" x14ac:dyDescent="0.25">
      <c r="C308" s="255"/>
      <c r="D308" s="256"/>
      <c r="E308" s="257"/>
      <c r="F308" s="257"/>
      <c r="G308" s="258"/>
      <c r="H308" s="243"/>
      <c r="I308" s="260"/>
      <c r="J308" s="288">
        <f t="shared" si="33"/>
        <v>0</v>
      </c>
      <c r="K308" s="289">
        <f t="shared" si="34"/>
        <v>0</v>
      </c>
      <c r="L308" s="290">
        <f t="shared" si="35"/>
        <v>0</v>
      </c>
    </row>
    <row r="309" spans="3:12" x14ac:dyDescent="0.25">
      <c r="C309" s="255"/>
      <c r="D309" s="256"/>
      <c r="E309" s="257"/>
      <c r="F309" s="257"/>
      <c r="G309" s="258"/>
      <c r="H309" s="243"/>
      <c r="I309" s="260"/>
      <c r="J309" s="288">
        <f t="shared" si="33"/>
        <v>0</v>
      </c>
      <c r="K309" s="289">
        <f t="shared" si="34"/>
        <v>0</v>
      </c>
      <c r="L309" s="290">
        <f t="shared" si="35"/>
        <v>0</v>
      </c>
    </row>
    <row r="310" spans="3:12" x14ac:dyDescent="0.25">
      <c r="C310" s="255"/>
      <c r="D310" s="256"/>
      <c r="E310" s="257"/>
      <c r="F310" s="257"/>
      <c r="G310" s="258"/>
      <c r="H310" s="243"/>
      <c r="I310" s="260"/>
      <c r="J310" s="288">
        <f t="shared" si="33"/>
        <v>0</v>
      </c>
      <c r="K310" s="289">
        <f t="shared" si="34"/>
        <v>0</v>
      </c>
      <c r="L310" s="290">
        <f t="shared" si="35"/>
        <v>0</v>
      </c>
    </row>
    <row r="311" spans="3:12" x14ac:dyDescent="0.25">
      <c r="C311" s="255"/>
      <c r="D311" s="256"/>
      <c r="E311" s="257"/>
      <c r="F311" s="257"/>
      <c r="G311" s="258"/>
      <c r="H311" s="243"/>
      <c r="I311" s="260"/>
      <c r="J311" s="288">
        <f t="shared" si="33"/>
        <v>0</v>
      </c>
      <c r="K311" s="289">
        <f t="shared" si="34"/>
        <v>0</v>
      </c>
      <c r="L311" s="290">
        <f t="shared" si="35"/>
        <v>0</v>
      </c>
    </row>
    <row r="312" spans="3:12" x14ac:dyDescent="0.25">
      <c r="C312" s="255"/>
      <c r="D312" s="256"/>
      <c r="E312" s="257"/>
      <c r="F312" s="257"/>
      <c r="G312" s="258"/>
      <c r="H312" s="243"/>
      <c r="I312" s="260"/>
      <c r="J312" s="288">
        <f t="shared" si="33"/>
        <v>0</v>
      </c>
      <c r="K312" s="289">
        <f t="shared" si="34"/>
        <v>0</v>
      </c>
      <c r="L312" s="290">
        <f t="shared" si="35"/>
        <v>0</v>
      </c>
    </row>
    <row r="313" spans="3:12" x14ac:dyDescent="0.25">
      <c r="C313" s="255"/>
      <c r="D313" s="256"/>
      <c r="E313" s="257"/>
      <c r="F313" s="257"/>
      <c r="G313" s="258"/>
      <c r="H313" s="243"/>
      <c r="I313" s="260"/>
      <c r="J313" s="288">
        <f t="shared" ref="J313:J376" si="36">IFERROR(IF(E313="Commercial",VLOOKUP(D313,$N$40:$P$46,3,FALSE),VLOOKUP(E313,$N$18:$P$24,3,FALSE)),0)</f>
        <v>0</v>
      </c>
      <c r="K313" s="289">
        <f t="shared" ref="K313:K376" si="37">J313-H313</f>
        <v>0</v>
      </c>
      <c r="L313" s="290">
        <f t="shared" si="35"/>
        <v>0</v>
      </c>
    </row>
    <row r="314" spans="3:12" x14ac:dyDescent="0.25">
      <c r="C314" s="255"/>
      <c r="D314" s="256"/>
      <c r="E314" s="257"/>
      <c r="F314" s="257"/>
      <c r="G314" s="258"/>
      <c r="H314" s="243"/>
      <c r="I314" s="260"/>
      <c r="J314" s="288">
        <f t="shared" si="36"/>
        <v>0</v>
      </c>
      <c r="K314" s="289">
        <f t="shared" si="37"/>
        <v>0</v>
      </c>
      <c r="L314" s="290">
        <f t="shared" si="35"/>
        <v>0</v>
      </c>
    </row>
    <row r="315" spans="3:12" x14ac:dyDescent="0.25">
      <c r="C315" s="255"/>
      <c r="D315" s="256"/>
      <c r="E315" s="257"/>
      <c r="F315" s="257"/>
      <c r="G315" s="258"/>
      <c r="H315" s="243"/>
      <c r="I315" s="260"/>
      <c r="J315" s="288">
        <f t="shared" si="36"/>
        <v>0</v>
      </c>
      <c r="K315" s="289">
        <f t="shared" si="37"/>
        <v>0</v>
      </c>
      <c r="L315" s="290">
        <f t="shared" si="35"/>
        <v>0</v>
      </c>
    </row>
    <row r="316" spans="3:12" x14ac:dyDescent="0.25">
      <c r="C316" s="255"/>
      <c r="D316" s="256"/>
      <c r="E316" s="257"/>
      <c r="F316" s="257"/>
      <c r="G316" s="258"/>
      <c r="H316" s="243"/>
      <c r="I316" s="260"/>
      <c r="J316" s="288">
        <f t="shared" si="36"/>
        <v>0</v>
      </c>
      <c r="K316" s="289">
        <f t="shared" si="37"/>
        <v>0</v>
      </c>
      <c r="L316" s="290">
        <f t="shared" si="35"/>
        <v>0</v>
      </c>
    </row>
    <row r="317" spans="3:12" x14ac:dyDescent="0.25">
      <c r="C317" s="255"/>
      <c r="D317" s="256"/>
      <c r="E317" s="257"/>
      <c r="F317" s="257"/>
      <c r="G317" s="258"/>
      <c r="H317" s="243"/>
      <c r="I317" s="260"/>
      <c r="J317" s="288">
        <f t="shared" si="36"/>
        <v>0</v>
      </c>
      <c r="K317" s="289">
        <f t="shared" si="37"/>
        <v>0</v>
      </c>
      <c r="L317" s="290">
        <f t="shared" si="35"/>
        <v>0</v>
      </c>
    </row>
    <row r="318" spans="3:12" x14ac:dyDescent="0.25">
      <c r="C318" s="255"/>
      <c r="D318" s="256"/>
      <c r="E318" s="257"/>
      <c r="F318" s="257"/>
      <c r="G318" s="258"/>
      <c r="H318" s="243"/>
      <c r="I318" s="260"/>
      <c r="J318" s="288">
        <f t="shared" si="36"/>
        <v>0</v>
      </c>
      <c r="K318" s="289">
        <f t="shared" si="37"/>
        <v>0</v>
      </c>
      <c r="L318" s="290">
        <f t="shared" si="35"/>
        <v>0</v>
      </c>
    </row>
    <row r="319" spans="3:12" x14ac:dyDescent="0.25">
      <c r="C319" s="255"/>
      <c r="D319" s="256"/>
      <c r="E319" s="257"/>
      <c r="F319" s="257"/>
      <c r="G319" s="258"/>
      <c r="H319" s="243"/>
      <c r="I319" s="260"/>
      <c r="J319" s="288">
        <f t="shared" si="36"/>
        <v>0</v>
      </c>
      <c r="K319" s="289">
        <f t="shared" si="37"/>
        <v>0</v>
      </c>
      <c r="L319" s="290">
        <f t="shared" si="35"/>
        <v>0</v>
      </c>
    </row>
    <row r="320" spans="3:12" x14ac:dyDescent="0.25">
      <c r="C320" s="255"/>
      <c r="D320" s="256"/>
      <c r="E320" s="257"/>
      <c r="F320" s="257"/>
      <c r="G320" s="258"/>
      <c r="H320" s="243"/>
      <c r="I320" s="260"/>
      <c r="J320" s="288">
        <f t="shared" si="36"/>
        <v>0</v>
      </c>
      <c r="K320" s="289">
        <f t="shared" si="37"/>
        <v>0</v>
      </c>
      <c r="L320" s="290">
        <f t="shared" si="35"/>
        <v>0</v>
      </c>
    </row>
    <row r="321" spans="3:12" x14ac:dyDescent="0.25">
      <c r="C321" s="255"/>
      <c r="D321" s="256"/>
      <c r="E321" s="257"/>
      <c r="F321" s="257"/>
      <c r="G321" s="258"/>
      <c r="H321" s="243"/>
      <c r="I321" s="260"/>
      <c r="J321" s="288">
        <f t="shared" si="36"/>
        <v>0</v>
      </c>
      <c r="K321" s="289">
        <f t="shared" si="37"/>
        <v>0</v>
      </c>
      <c r="L321" s="290">
        <f t="shared" si="35"/>
        <v>0</v>
      </c>
    </row>
    <row r="322" spans="3:12" x14ac:dyDescent="0.25">
      <c r="C322" s="255"/>
      <c r="D322" s="256"/>
      <c r="E322" s="257"/>
      <c r="F322" s="257"/>
      <c r="G322" s="258"/>
      <c r="H322" s="243"/>
      <c r="I322" s="260"/>
      <c r="J322" s="288">
        <f t="shared" si="36"/>
        <v>0</v>
      </c>
      <c r="K322" s="289">
        <f t="shared" si="37"/>
        <v>0</v>
      </c>
      <c r="L322" s="290">
        <f t="shared" si="35"/>
        <v>0</v>
      </c>
    </row>
    <row r="323" spans="3:12" x14ac:dyDescent="0.25">
      <c r="C323" s="255"/>
      <c r="D323" s="256"/>
      <c r="E323" s="257"/>
      <c r="F323" s="257"/>
      <c r="G323" s="258"/>
      <c r="H323" s="243"/>
      <c r="I323" s="260"/>
      <c r="J323" s="288">
        <f t="shared" si="36"/>
        <v>0</v>
      </c>
      <c r="K323" s="289">
        <f t="shared" si="37"/>
        <v>0</v>
      </c>
      <c r="L323" s="290">
        <f t="shared" si="35"/>
        <v>0</v>
      </c>
    </row>
    <row r="324" spans="3:12" x14ac:dyDescent="0.25">
      <c r="C324" s="255"/>
      <c r="D324" s="256"/>
      <c r="E324" s="257"/>
      <c r="F324" s="257"/>
      <c r="G324" s="258"/>
      <c r="H324" s="243"/>
      <c r="I324" s="260"/>
      <c r="J324" s="288">
        <f t="shared" si="36"/>
        <v>0</v>
      </c>
      <c r="K324" s="289">
        <f t="shared" si="37"/>
        <v>0</v>
      </c>
      <c r="L324" s="290">
        <f t="shared" si="35"/>
        <v>0</v>
      </c>
    </row>
    <row r="325" spans="3:12" x14ac:dyDescent="0.25">
      <c r="C325" s="255"/>
      <c r="D325" s="256"/>
      <c r="E325" s="257"/>
      <c r="F325" s="257"/>
      <c r="G325" s="258"/>
      <c r="H325" s="243"/>
      <c r="I325" s="260"/>
      <c r="J325" s="288">
        <f t="shared" si="36"/>
        <v>0</v>
      </c>
      <c r="K325" s="289">
        <f t="shared" si="37"/>
        <v>0</v>
      </c>
      <c r="L325" s="290">
        <f t="shared" si="35"/>
        <v>0</v>
      </c>
    </row>
    <row r="326" spans="3:12" x14ac:dyDescent="0.25">
      <c r="C326" s="255"/>
      <c r="D326" s="256"/>
      <c r="E326" s="257"/>
      <c r="F326" s="257"/>
      <c r="G326" s="258"/>
      <c r="H326" s="243"/>
      <c r="I326" s="260"/>
      <c r="J326" s="288">
        <f t="shared" si="36"/>
        <v>0</v>
      </c>
      <c r="K326" s="289">
        <f t="shared" si="37"/>
        <v>0</v>
      </c>
      <c r="L326" s="290">
        <f t="shared" si="35"/>
        <v>0</v>
      </c>
    </row>
    <row r="327" spans="3:12" x14ac:dyDescent="0.25">
      <c r="C327" s="255"/>
      <c r="D327" s="256"/>
      <c r="E327" s="257"/>
      <c r="F327" s="257"/>
      <c r="G327" s="258"/>
      <c r="H327" s="243"/>
      <c r="I327" s="260"/>
      <c r="J327" s="288">
        <f t="shared" si="36"/>
        <v>0</v>
      </c>
      <c r="K327" s="289">
        <f t="shared" si="37"/>
        <v>0</v>
      </c>
      <c r="L327" s="290">
        <f t="shared" si="35"/>
        <v>0</v>
      </c>
    </row>
    <row r="328" spans="3:12" x14ac:dyDescent="0.25">
      <c r="C328" s="255"/>
      <c r="D328" s="256"/>
      <c r="E328" s="257"/>
      <c r="F328" s="257"/>
      <c r="G328" s="258"/>
      <c r="H328" s="243"/>
      <c r="I328" s="260"/>
      <c r="J328" s="288">
        <f t="shared" si="36"/>
        <v>0</v>
      </c>
      <c r="K328" s="289">
        <f t="shared" si="37"/>
        <v>0</v>
      </c>
      <c r="L328" s="290">
        <f t="shared" si="35"/>
        <v>0</v>
      </c>
    </row>
    <row r="329" spans="3:12" x14ac:dyDescent="0.25">
      <c r="C329" s="255"/>
      <c r="D329" s="256"/>
      <c r="E329" s="257"/>
      <c r="F329" s="257"/>
      <c r="G329" s="258"/>
      <c r="H329" s="243"/>
      <c r="I329" s="260"/>
      <c r="J329" s="288">
        <f t="shared" si="36"/>
        <v>0</v>
      </c>
      <c r="K329" s="289">
        <f t="shared" si="37"/>
        <v>0</v>
      </c>
      <c r="L329" s="290">
        <f t="shared" ref="L329:L392" si="38">IFERROR(IF(J329&gt;0,K329/H329,0),0)</f>
        <v>0</v>
      </c>
    </row>
    <row r="330" spans="3:12" x14ac:dyDescent="0.25">
      <c r="C330" s="255"/>
      <c r="D330" s="256"/>
      <c r="E330" s="257"/>
      <c r="F330" s="257"/>
      <c r="G330" s="258"/>
      <c r="H330" s="243"/>
      <c r="I330" s="260"/>
      <c r="J330" s="288">
        <f t="shared" si="36"/>
        <v>0</v>
      </c>
      <c r="K330" s="289">
        <f t="shared" si="37"/>
        <v>0</v>
      </c>
      <c r="L330" s="290">
        <f t="shared" si="38"/>
        <v>0</v>
      </c>
    </row>
    <row r="331" spans="3:12" x14ac:dyDescent="0.25">
      <c r="C331" s="255"/>
      <c r="D331" s="256"/>
      <c r="E331" s="257"/>
      <c r="F331" s="257"/>
      <c r="G331" s="258"/>
      <c r="H331" s="243"/>
      <c r="I331" s="260"/>
      <c r="J331" s="288">
        <f t="shared" si="36"/>
        <v>0</v>
      </c>
      <c r="K331" s="289">
        <f t="shared" si="37"/>
        <v>0</v>
      </c>
      <c r="L331" s="290">
        <f t="shared" si="38"/>
        <v>0</v>
      </c>
    </row>
    <row r="332" spans="3:12" x14ac:dyDescent="0.25">
      <c r="C332" s="255"/>
      <c r="D332" s="256"/>
      <c r="E332" s="257"/>
      <c r="F332" s="257"/>
      <c r="G332" s="258"/>
      <c r="H332" s="243"/>
      <c r="I332" s="260"/>
      <c r="J332" s="288">
        <f t="shared" si="36"/>
        <v>0</v>
      </c>
      <c r="K332" s="289">
        <f t="shared" si="37"/>
        <v>0</v>
      </c>
      <c r="L332" s="290">
        <f t="shared" si="38"/>
        <v>0</v>
      </c>
    </row>
    <row r="333" spans="3:12" x14ac:dyDescent="0.25">
      <c r="C333" s="255"/>
      <c r="D333" s="256"/>
      <c r="E333" s="257"/>
      <c r="F333" s="257"/>
      <c r="G333" s="258"/>
      <c r="H333" s="243"/>
      <c r="I333" s="260"/>
      <c r="J333" s="288">
        <f t="shared" si="36"/>
        <v>0</v>
      </c>
      <c r="K333" s="289">
        <f t="shared" si="37"/>
        <v>0</v>
      </c>
      <c r="L333" s="290">
        <f t="shared" si="38"/>
        <v>0</v>
      </c>
    </row>
    <row r="334" spans="3:12" x14ac:dyDescent="0.25">
      <c r="C334" s="255"/>
      <c r="D334" s="256"/>
      <c r="E334" s="257"/>
      <c r="F334" s="257"/>
      <c r="G334" s="258"/>
      <c r="H334" s="243"/>
      <c r="I334" s="260"/>
      <c r="J334" s="288">
        <f t="shared" si="36"/>
        <v>0</v>
      </c>
      <c r="K334" s="289">
        <f t="shared" si="37"/>
        <v>0</v>
      </c>
      <c r="L334" s="290">
        <f t="shared" si="38"/>
        <v>0</v>
      </c>
    </row>
    <row r="335" spans="3:12" x14ac:dyDescent="0.25">
      <c r="C335" s="255"/>
      <c r="D335" s="256"/>
      <c r="E335" s="257"/>
      <c r="F335" s="257"/>
      <c r="G335" s="258"/>
      <c r="H335" s="243"/>
      <c r="I335" s="260"/>
      <c r="J335" s="288">
        <f t="shared" si="36"/>
        <v>0</v>
      </c>
      <c r="K335" s="289">
        <f t="shared" si="37"/>
        <v>0</v>
      </c>
      <c r="L335" s="290">
        <f t="shared" si="38"/>
        <v>0</v>
      </c>
    </row>
    <row r="336" spans="3:12" x14ac:dyDescent="0.25">
      <c r="C336" s="255"/>
      <c r="D336" s="256"/>
      <c r="E336" s="257"/>
      <c r="F336" s="257"/>
      <c r="G336" s="258"/>
      <c r="H336" s="243"/>
      <c r="I336" s="260"/>
      <c r="J336" s="288">
        <f t="shared" si="36"/>
        <v>0</v>
      </c>
      <c r="K336" s="289">
        <f t="shared" si="37"/>
        <v>0</v>
      </c>
      <c r="L336" s="290">
        <f t="shared" si="38"/>
        <v>0</v>
      </c>
    </row>
    <row r="337" spans="3:12" x14ac:dyDescent="0.25">
      <c r="C337" s="255"/>
      <c r="D337" s="256"/>
      <c r="E337" s="257"/>
      <c r="F337" s="257"/>
      <c r="G337" s="258"/>
      <c r="H337" s="243"/>
      <c r="I337" s="260"/>
      <c r="J337" s="288">
        <f t="shared" si="36"/>
        <v>0</v>
      </c>
      <c r="K337" s="289">
        <f t="shared" si="37"/>
        <v>0</v>
      </c>
      <c r="L337" s="290">
        <f t="shared" si="38"/>
        <v>0</v>
      </c>
    </row>
    <row r="338" spans="3:12" x14ac:dyDescent="0.25">
      <c r="C338" s="255"/>
      <c r="D338" s="256"/>
      <c r="E338" s="257"/>
      <c r="F338" s="257"/>
      <c r="G338" s="258"/>
      <c r="H338" s="243"/>
      <c r="I338" s="260"/>
      <c r="J338" s="288">
        <f t="shared" si="36"/>
        <v>0</v>
      </c>
      <c r="K338" s="289">
        <f t="shared" si="37"/>
        <v>0</v>
      </c>
      <c r="L338" s="290">
        <f t="shared" si="38"/>
        <v>0</v>
      </c>
    </row>
    <row r="339" spans="3:12" x14ac:dyDescent="0.25">
      <c r="C339" s="255"/>
      <c r="D339" s="256"/>
      <c r="E339" s="257"/>
      <c r="F339" s="257"/>
      <c r="G339" s="258"/>
      <c r="H339" s="243"/>
      <c r="I339" s="260"/>
      <c r="J339" s="288">
        <f t="shared" si="36"/>
        <v>0</v>
      </c>
      <c r="K339" s="289">
        <f t="shared" si="37"/>
        <v>0</v>
      </c>
      <c r="L339" s="290">
        <f t="shared" si="38"/>
        <v>0</v>
      </c>
    </row>
    <row r="340" spans="3:12" x14ac:dyDescent="0.25">
      <c r="C340" s="255"/>
      <c r="D340" s="256"/>
      <c r="E340" s="257"/>
      <c r="F340" s="257"/>
      <c r="G340" s="258"/>
      <c r="H340" s="243"/>
      <c r="I340" s="260"/>
      <c r="J340" s="288">
        <f t="shared" si="36"/>
        <v>0</v>
      </c>
      <c r="K340" s="289">
        <f t="shared" si="37"/>
        <v>0</v>
      </c>
      <c r="L340" s="290">
        <f t="shared" si="38"/>
        <v>0</v>
      </c>
    </row>
    <row r="341" spans="3:12" x14ac:dyDescent="0.25">
      <c r="C341" s="255"/>
      <c r="D341" s="256"/>
      <c r="E341" s="257"/>
      <c r="F341" s="257"/>
      <c r="G341" s="258"/>
      <c r="H341" s="243"/>
      <c r="I341" s="260"/>
      <c r="J341" s="288">
        <f t="shared" si="36"/>
        <v>0</v>
      </c>
      <c r="K341" s="289">
        <f t="shared" si="37"/>
        <v>0</v>
      </c>
      <c r="L341" s="290">
        <f t="shared" si="38"/>
        <v>0</v>
      </c>
    </row>
    <row r="342" spans="3:12" x14ac:dyDescent="0.25">
      <c r="C342" s="255"/>
      <c r="D342" s="256"/>
      <c r="E342" s="257"/>
      <c r="F342" s="257"/>
      <c r="G342" s="258"/>
      <c r="H342" s="243"/>
      <c r="I342" s="260"/>
      <c r="J342" s="288">
        <f t="shared" si="36"/>
        <v>0</v>
      </c>
      <c r="K342" s="289">
        <f t="shared" si="37"/>
        <v>0</v>
      </c>
      <c r="L342" s="290">
        <f t="shared" si="38"/>
        <v>0</v>
      </c>
    </row>
    <row r="343" spans="3:12" x14ac:dyDescent="0.25">
      <c r="C343" s="255"/>
      <c r="D343" s="256"/>
      <c r="E343" s="257"/>
      <c r="F343" s="257"/>
      <c r="G343" s="258"/>
      <c r="H343" s="243"/>
      <c r="I343" s="260"/>
      <c r="J343" s="288">
        <f t="shared" si="36"/>
        <v>0</v>
      </c>
      <c r="K343" s="289">
        <f t="shared" si="37"/>
        <v>0</v>
      </c>
      <c r="L343" s="290">
        <f t="shared" si="38"/>
        <v>0</v>
      </c>
    </row>
    <row r="344" spans="3:12" x14ac:dyDescent="0.25">
      <c r="C344" s="255"/>
      <c r="D344" s="256"/>
      <c r="E344" s="257"/>
      <c r="F344" s="257"/>
      <c r="G344" s="258"/>
      <c r="H344" s="243"/>
      <c r="I344" s="260"/>
      <c r="J344" s="288">
        <f t="shared" si="36"/>
        <v>0</v>
      </c>
      <c r="K344" s="289">
        <f t="shared" si="37"/>
        <v>0</v>
      </c>
      <c r="L344" s="290">
        <f t="shared" si="38"/>
        <v>0</v>
      </c>
    </row>
    <row r="345" spans="3:12" x14ac:dyDescent="0.25">
      <c r="C345" s="255"/>
      <c r="D345" s="256"/>
      <c r="E345" s="257"/>
      <c r="F345" s="257"/>
      <c r="G345" s="258"/>
      <c r="H345" s="243"/>
      <c r="I345" s="260"/>
      <c r="J345" s="288">
        <f t="shared" si="36"/>
        <v>0</v>
      </c>
      <c r="K345" s="289">
        <f t="shared" si="37"/>
        <v>0</v>
      </c>
      <c r="L345" s="290">
        <f t="shared" si="38"/>
        <v>0</v>
      </c>
    </row>
    <row r="346" spans="3:12" x14ac:dyDescent="0.25">
      <c r="C346" s="255"/>
      <c r="D346" s="256"/>
      <c r="E346" s="257"/>
      <c r="F346" s="257"/>
      <c r="G346" s="258"/>
      <c r="H346" s="243"/>
      <c r="I346" s="260"/>
      <c r="J346" s="288">
        <f t="shared" si="36"/>
        <v>0</v>
      </c>
      <c r="K346" s="289">
        <f t="shared" si="37"/>
        <v>0</v>
      </c>
      <c r="L346" s="290">
        <f t="shared" si="38"/>
        <v>0</v>
      </c>
    </row>
    <row r="347" spans="3:12" x14ac:dyDescent="0.25">
      <c r="C347" s="255"/>
      <c r="D347" s="256"/>
      <c r="E347" s="257"/>
      <c r="F347" s="257"/>
      <c r="G347" s="258"/>
      <c r="H347" s="243"/>
      <c r="I347" s="260"/>
      <c r="J347" s="288">
        <f t="shared" si="36"/>
        <v>0</v>
      </c>
      <c r="K347" s="289">
        <f t="shared" si="37"/>
        <v>0</v>
      </c>
      <c r="L347" s="290">
        <f t="shared" si="38"/>
        <v>0</v>
      </c>
    </row>
    <row r="348" spans="3:12" x14ac:dyDescent="0.25">
      <c r="C348" s="255"/>
      <c r="D348" s="256"/>
      <c r="E348" s="257"/>
      <c r="F348" s="257"/>
      <c r="G348" s="258"/>
      <c r="H348" s="243"/>
      <c r="I348" s="260"/>
      <c r="J348" s="288">
        <f t="shared" si="36"/>
        <v>0</v>
      </c>
      <c r="K348" s="289">
        <f t="shared" si="37"/>
        <v>0</v>
      </c>
      <c r="L348" s="290">
        <f t="shared" si="38"/>
        <v>0</v>
      </c>
    </row>
    <row r="349" spans="3:12" x14ac:dyDescent="0.25">
      <c r="C349" s="255"/>
      <c r="D349" s="256"/>
      <c r="E349" s="257"/>
      <c r="F349" s="257"/>
      <c r="G349" s="258"/>
      <c r="H349" s="243"/>
      <c r="I349" s="260"/>
      <c r="J349" s="288">
        <f t="shared" si="36"/>
        <v>0</v>
      </c>
      <c r="K349" s="289">
        <f t="shared" si="37"/>
        <v>0</v>
      </c>
      <c r="L349" s="290">
        <f t="shared" si="38"/>
        <v>0</v>
      </c>
    </row>
    <row r="350" spans="3:12" x14ac:dyDescent="0.25">
      <c r="C350" s="255"/>
      <c r="D350" s="256"/>
      <c r="E350" s="257"/>
      <c r="F350" s="257"/>
      <c r="G350" s="258"/>
      <c r="H350" s="243"/>
      <c r="I350" s="260"/>
      <c r="J350" s="288">
        <f t="shared" si="36"/>
        <v>0</v>
      </c>
      <c r="K350" s="289">
        <f t="shared" si="37"/>
        <v>0</v>
      </c>
      <c r="L350" s="290">
        <f t="shared" si="38"/>
        <v>0</v>
      </c>
    </row>
    <row r="351" spans="3:12" x14ac:dyDescent="0.25">
      <c r="C351" s="255"/>
      <c r="D351" s="256"/>
      <c r="E351" s="257"/>
      <c r="F351" s="257"/>
      <c r="G351" s="258"/>
      <c r="H351" s="243"/>
      <c r="I351" s="260"/>
      <c r="J351" s="288">
        <f t="shared" si="36"/>
        <v>0</v>
      </c>
      <c r="K351" s="289">
        <f t="shared" si="37"/>
        <v>0</v>
      </c>
      <c r="L351" s="290">
        <f t="shared" si="38"/>
        <v>0</v>
      </c>
    </row>
    <row r="352" spans="3:12" x14ac:dyDescent="0.25">
      <c r="C352" s="255"/>
      <c r="D352" s="256"/>
      <c r="E352" s="257"/>
      <c r="F352" s="257"/>
      <c r="G352" s="258"/>
      <c r="H352" s="243"/>
      <c r="I352" s="260"/>
      <c r="J352" s="288">
        <f t="shared" si="36"/>
        <v>0</v>
      </c>
      <c r="K352" s="289">
        <f t="shared" si="37"/>
        <v>0</v>
      </c>
      <c r="L352" s="290">
        <f t="shared" si="38"/>
        <v>0</v>
      </c>
    </row>
    <row r="353" spans="3:12" x14ac:dyDescent="0.25">
      <c r="C353" s="255"/>
      <c r="D353" s="256"/>
      <c r="E353" s="257"/>
      <c r="F353" s="257"/>
      <c r="G353" s="258"/>
      <c r="H353" s="243"/>
      <c r="I353" s="260"/>
      <c r="J353" s="288">
        <f t="shared" si="36"/>
        <v>0</v>
      </c>
      <c r="K353" s="289">
        <f t="shared" si="37"/>
        <v>0</v>
      </c>
      <c r="L353" s="290">
        <f t="shared" si="38"/>
        <v>0</v>
      </c>
    </row>
    <row r="354" spans="3:12" x14ac:dyDescent="0.25">
      <c r="C354" s="255"/>
      <c r="D354" s="256"/>
      <c r="E354" s="257"/>
      <c r="F354" s="257"/>
      <c r="G354" s="258"/>
      <c r="H354" s="243"/>
      <c r="I354" s="260"/>
      <c r="J354" s="288">
        <f t="shared" si="36"/>
        <v>0</v>
      </c>
      <c r="K354" s="289">
        <f t="shared" si="37"/>
        <v>0</v>
      </c>
      <c r="L354" s="290">
        <f t="shared" si="38"/>
        <v>0</v>
      </c>
    </row>
    <row r="355" spans="3:12" x14ac:dyDescent="0.25">
      <c r="C355" s="255"/>
      <c r="D355" s="256"/>
      <c r="E355" s="257"/>
      <c r="F355" s="257"/>
      <c r="G355" s="258"/>
      <c r="H355" s="243"/>
      <c r="I355" s="260"/>
      <c r="J355" s="288">
        <f t="shared" si="36"/>
        <v>0</v>
      </c>
      <c r="K355" s="289">
        <f t="shared" si="37"/>
        <v>0</v>
      </c>
      <c r="L355" s="290">
        <f t="shared" si="38"/>
        <v>0</v>
      </c>
    </row>
    <row r="356" spans="3:12" x14ac:dyDescent="0.25">
      <c r="C356" s="255"/>
      <c r="D356" s="256"/>
      <c r="E356" s="257"/>
      <c r="F356" s="257"/>
      <c r="G356" s="258"/>
      <c r="H356" s="243"/>
      <c r="I356" s="260"/>
      <c r="J356" s="288">
        <f t="shared" si="36"/>
        <v>0</v>
      </c>
      <c r="K356" s="289">
        <f t="shared" si="37"/>
        <v>0</v>
      </c>
      <c r="L356" s="290">
        <f t="shared" si="38"/>
        <v>0</v>
      </c>
    </row>
    <row r="357" spans="3:12" x14ac:dyDescent="0.25">
      <c r="C357" s="255"/>
      <c r="D357" s="256"/>
      <c r="E357" s="257"/>
      <c r="F357" s="257"/>
      <c r="G357" s="258"/>
      <c r="H357" s="243"/>
      <c r="I357" s="260"/>
      <c r="J357" s="288">
        <f t="shared" si="36"/>
        <v>0</v>
      </c>
      <c r="K357" s="289">
        <f t="shared" si="37"/>
        <v>0</v>
      </c>
      <c r="L357" s="290">
        <f t="shared" si="38"/>
        <v>0</v>
      </c>
    </row>
    <row r="358" spans="3:12" x14ac:dyDescent="0.25">
      <c r="C358" s="255"/>
      <c r="D358" s="256"/>
      <c r="E358" s="257"/>
      <c r="F358" s="257"/>
      <c r="G358" s="258"/>
      <c r="H358" s="243"/>
      <c r="I358" s="260"/>
      <c r="J358" s="288">
        <f t="shared" si="36"/>
        <v>0</v>
      </c>
      <c r="K358" s="289">
        <f t="shared" si="37"/>
        <v>0</v>
      </c>
      <c r="L358" s="290">
        <f t="shared" si="38"/>
        <v>0</v>
      </c>
    </row>
    <row r="359" spans="3:12" x14ac:dyDescent="0.25">
      <c r="C359" s="255"/>
      <c r="D359" s="256"/>
      <c r="E359" s="257"/>
      <c r="F359" s="257"/>
      <c r="G359" s="258"/>
      <c r="H359" s="243"/>
      <c r="I359" s="260"/>
      <c r="J359" s="288">
        <f t="shared" si="36"/>
        <v>0</v>
      </c>
      <c r="K359" s="289">
        <f t="shared" si="37"/>
        <v>0</v>
      </c>
      <c r="L359" s="290">
        <f t="shared" si="38"/>
        <v>0</v>
      </c>
    </row>
    <row r="360" spans="3:12" x14ac:dyDescent="0.25">
      <c r="C360" s="255"/>
      <c r="D360" s="256"/>
      <c r="E360" s="257"/>
      <c r="F360" s="257"/>
      <c r="G360" s="258"/>
      <c r="H360" s="243"/>
      <c r="I360" s="260"/>
      <c r="J360" s="288">
        <f t="shared" si="36"/>
        <v>0</v>
      </c>
      <c r="K360" s="289">
        <f t="shared" si="37"/>
        <v>0</v>
      </c>
      <c r="L360" s="290">
        <f t="shared" si="38"/>
        <v>0</v>
      </c>
    </row>
    <row r="361" spans="3:12" x14ac:dyDescent="0.25">
      <c r="C361" s="255"/>
      <c r="D361" s="256"/>
      <c r="E361" s="257"/>
      <c r="F361" s="257"/>
      <c r="G361" s="258"/>
      <c r="H361" s="243"/>
      <c r="I361" s="260"/>
      <c r="J361" s="288">
        <f t="shared" si="36"/>
        <v>0</v>
      </c>
      <c r="K361" s="289">
        <f t="shared" si="37"/>
        <v>0</v>
      </c>
      <c r="L361" s="290">
        <f t="shared" si="38"/>
        <v>0</v>
      </c>
    </row>
    <row r="362" spans="3:12" x14ac:dyDescent="0.25">
      <c r="C362" s="255"/>
      <c r="D362" s="256"/>
      <c r="E362" s="257"/>
      <c r="F362" s="257"/>
      <c r="G362" s="258"/>
      <c r="H362" s="243"/>
      <c r="I362" s="260"/>
      <c r="J362" s="288">
        <f t="shared" si="36"/>
        <v>0</v>
      </c>
      <c r="K362" s="289">
        <f t="shared" si="37"/>
        <v>0</v>
      </c>
      <c r="L362" s="290">
        <f t="shared" si="38"/>
        <v>0</v>
      </c>
    </row>
    <row r="363" spans="3:12" x14ac:dyDescent="0.25">
      <c r="C363" s="255"/>
      <c r="D363" s="256"/>
      <c r="E363" s="257"/>
      <c r="F363" s="257"/>
      <c r="G363" s="258"/>
      <c r="H363" s="243"/>
      <c r="I363" s="260"/>
      <c r="J363" s="288">
        <f t="shared" si="36"/>
        <v>0</v>
      </c>
      <c r="K363" s="289">
        <f t="shared" si="37"/>
        <v>0</v>
      </c>
      <c r="L363" s="290">
        <f t="shared" si="38"/>
        <v>0</v>
      </c>
    </row>
    <row r="364" spans="3:12" x14ac:dyDescent="0.25">
      <c r="C364" s="255"/>
      <c r="D364" s="256"/>
      <c r="E364" s="257"/>
      <c r="F364" s="257"/>
      <c r="G364" s="258"/>
      <c r="H364" s="243"/>
      <c r="I364" s="260"/>
      <c r="J364" s="288">
        <f t="shared" si="36"/>
        <v>0</v>
      </c>
      <c r="K364" s="289">
        <f t="shared" si="37"/>
        <v>0</v>
      </c>
      <c r="L364" s="290">
        <f t="shared" si="38"/>
        <v>0</v>
      </c>
    </row>
    <row r="365" spans="3:12" x14ac:dyDescent="0.25">
      <c r="C365" s="255"/>
      <c r="D365" s="256"/>
      <c r="E365" s="257"/>
      <c r="F365" s="257"/>
      <c r="G365" s="258"/>
      <c r="H365" s="243"/>
      <c r="I365" s="260"/>
      <c r="J365" s="288">
        <f t="shared" si="36"/>
        <v>0</v>
      </c>
      <c r="K365" s="289">
        <f t="shared" si="37"/>
        <v>0</v>
      </c>
      <c r="L365" s="290">
        <f t="shared" si="38"/>
        <v>0</v>
      </c>
    </row>
    <row r="366" spans="3:12" x14ac:dyDescent="0.25">
      <c r="C366" s="255"/>
      <c r="D366" s="256"/>
      <c r="E366" s="257"/>
      <c r="F366" s="257"/>
      <c r="G366" s="258"/>
      <c r="H366" s="243"/>
      <c r="I366" s="260"/>
      <c r="J366" s="288">
        <f t="shared" si="36"/>
        <v>0</v>
      </c>
      <c r="K366" s="289">
        <f t="shared" si="37"/>
        <v>0</v>
      </c>
      <c r="L366" s="290">
        <f t="shared" si="38"/>
        <v>0</v>
      </c>
    </row>
    <row r="367" spans="3:12" x14ac:dyDescent="0.25">
      <c r="C367" s="255"/>
      <c r="D367" s="256"/>
      <c r="E367" s="257"/>
      <c r="F367" s="257"/>
      <c r="G367" s="258"/>
      <c r="H367" s="243"/>
      <c r="I367" s="260"/>
      <c r="J367" s="288">
        <f t="shared" si="36"/>
        <v>0</v>
      </c>
      <c r="K367" s="289">
        <f t="shared" si="37"/>
        <v>0</v>
      </c>
      <c r="L367" s="290">
        <f t="shared" si="38"/>
        <v>0</v>
      </c>
    </row>
    <row r="368" spans="3:12" x14ac:dyDescent="0.25">
      <c r="C368" s="255"/>
      <c r="D368" s="256"/>
      <c r="E368" s="257"/>
      <c r="F368" s="257"/>
      <c r="G368" s="258"/>
      <c r="H368" s="243"/>
      <c r="I368" s="260"/>
      <c r="J368" s="288">
        <f t="shared" si="36"/>
        <v>0</v>
      </c>
      <c r="K368" s="289">
        <f t="shared" si="37"/>
        <v>0</v>
      </c>
      <c r="L368" s="290">
        <f t="shared" si="38"/>
        <v>0</v>
      </c>
    </row>
    <row r="369" spans="3:12" x14ac:dyDescent="0.25">
      <c r="C369" s="255"/>
      <c r="D369" s="256"/>
      <c r="E369" s="257"/>
      <c r="F369" s="257"/>
      <c r="G369" s="258"/>
      <c r="H369" s="243"/>
      <c r="I369" s="260"/>
      <c r="J369" s="288">
        <f t="shared" si="36"/>
        <v>0</v>
      </c>
      <c r="K369" s="289">
        <f t="shared" si="37"/>
        <v>0</v>
      </c>
      <c r="L369" s="290">
        <f t="shared" si="38"/>
        <v>0</v>
      </c>
    </row>
    <row r="370" spans="3:12" x14ac:dyDescent="0.25">
      <c r="C370" s="255"/>
      <c r="D370" s="256"/>
      <c r="E370" s="257"/>
      <c r="F370" s="257"/>
      <c r="G370" s="258"/>
      <c r="H370" s="243"/>
      <c r="I370" s="260"/>
      <c r="J370" s="288">
        <f t="shared" si="36"/>
        <v>0</v>
      </c>
      <c r="K370" s="289">
        <f t="shared" si="37"/>
        <v>0</v>
      </c>
      <c r="L370" s="290">
        <f t="shared" si="38"/>
        <v>0</v>
      </c>
    </row>
    <row r="371" spans="3:12" x14ac:dyDescent="0.25">
      <c r="C371" s="255"/>
      <c r="D371" s="256"/>
      <c r="E371" s="257"/>
      <c r="F371" s="257"/>
      <c r="G371" s="258"/>
      <c r="H371" s="243"/>
      <c r="I371" s="260"/>
      <c r="J371" s="288">
        <f t="shared" si="36"/>
        <v>0</v>
      </c>
      <c r="K371" s="289">
        <f t="shared" si="37"/>
        <v>0</v>
      </c>
      <c r="L371" s="290">
        <f t="shared" si="38"/>
        <v>0</v>
      </c>
    </row>
    <row r="372" spans="3:12" x14ac:dyDescent="0.25">
      <c r="C372" s="255"/>
      <c r="D372" s="256"/>
      <c r="E372" s="257"/>
      <c r="F372" s="257"/>
      <c r="G372" s="258"/>
      <c r="H372" s="243"/>
      <c r="I372" s="260"/>
      <c r="J372" s="288">
        <f t="shared" si="36"/>
        <v>0</v>
      </c>
      <c r="K372" s="289">
        <f t="shared" si="37"/>
        <v>0</v>
      </c>
      <c r="L372" s="290">
        <f t="shared" si="38"/>
        <v>0</v>
      </c>
    </row>
    <row r="373" spans="3:12" x14ac:dyDescent="0.25">
      <c r="C373" s="255"/>
      <c r="D373" s="256"/>
      <c r="E373" s="257"/>
      <c r="F373" s="257"/>
      <c r="G373" s="258"/>
      <c r="H373" s="243"/>
      <c r="I373" s="260"/>
      <c r="J373" s="288">
        <f t="shared" si="36"/>
        <v>0</v>
      </c>
      <c r="K373" s="289">
        <f t="shared" si="37"/>
        <v>0</v>
      </c>
      <c r="L373" s="290">
        <f t="shared" si="38"/>
        <v>0</v>
      </c>
    </row>
    <row r="374" spans="3:12" x14ac:dyDescent="0.25">
      <c r="C374" s="255"/>
      <c r="D374" s="256"/>
      <c r="E374" s="257"/>
      <c r="F374" s="257"/>
      <c r="G374" s="258"/>
      <c r="H374" s="243"/>
      <c r="I374" s="260"/>
      <c r="J374" s="288">
        <f t="shared" si="36"/>
        <v>0</v>
      </c>
      <c r="K374" s="289">
        <f t="shared" si="37"/>
        <v>0</v>
      </c>
      <c r="L374" s="290">
        <f t="shared" si="38"/>
        <v>0</v>
      </c>
    </row>
    <row r="375" spans="3:12" x14ac:dyDescent="0.25">
      <c r="C375" s="255"/>
      <c r="D375" s="256"/>
      <c r="E375" s="257"/>
      <c r="F375" s="257"/>
      <c r="G375" s="258"/>
      <c r="H375" s="243"/>
      <c r="I375" s="260"/>
      <c r="J375" s="288">
        <f t="shared" si="36"/>
        <v>0</v>
      </c>
      <c r="K375" s="289">
        <f t="shared" si="37"/>
        <v>0</v>
      </c>
      <c r="L375" s="290">
        <f t="shared" si="38"/>
        <v>0</v>
      </c>
    </row>
    <row r="376" spans="3:12" x14ac:dyDescent="0.25">
      <c r="C376" s="255"/>
      <c r="D376" s="256"/>
      <c r="E376" s="257"/>
      <c r="F376" s="257"/>
      <c r="G376" s="258"/>
      <c r="H376" s="243"/>
      <c r="I376" s="260"/>
      <c r="J376" s="288">
        <f t="shared" si="36"/>
        <v>0</v>
      </c>
      <c r="K376" s="289">
        <f t="shared" si="37"/>
        <v>0</v>
      </c>
      <c r="L376" s="290">
        <f t="shared" si="38"/>
        <v>0</v>
      </c>
    </row>
    <row r="377" spans="3:12" x14ac:dyDescent="0.25">
      <c r="C377" s="255"/>
      <c r="D377" s="256"/>
      <c r="E377" s="257"/>
      <c r="F377" s="257"/>
      <c r="G377" s="258"/>
      <c r="H377" s="243"/>
      <c r="I377" s="260"/>
      <c r="J377" s="288">
        <f t="shared" ref="J377:J440" si="39">IFERROR(IF(E377="Commercial",VLOOKUP(D377,$N$40:$P$46,3,FALSE),VLOOKUP(E377,$N$18:$P$24,3,FALSE)),0)</f>
        <v>0</v>
      </c>
      <c r="K377" s="289">
        <f t="shared" ref="K377:K440" si="40">J377-H377</f>
        <v>0</v>
      </c>
      <c r="L377" s="290">
        <f t="shared" si="38"/>
        <v>0</v>
      </c>
    </row>
    <row r="378" spans="3:12" x14ac:dyDescent="0.25">
      <c r="C378" s="255"/>
      <c r="D378" s="256"/>
      <c r="E378" s="257"/>
      <c r="F378" s="257"/>
      <c r="G378" s="258"/>
      <c r="H378" s="243"/>
      <c r="I378" s="260"/>
      <c r="J378" s="288">
        <f t="shared" si="39"/>
        <v>0</v>
      </c>
      <c r="K378" s="289">
        <f t="shared" si="40"/>
        <v>0</v>
      </c>
      <c r="L378" s="290">
        <f t="shared" si="38"/>
        <v>0</v>
      </c>
    </row>
    <row r="379" spans="3:12" x14ac:dyDescent="0.25">
      <c r="C379" s="255"/>
      <c r="D379" s="256"/>
      <c r="E379" s="257"/>
      <c r="F379" s="257"/>
      <c r="G379" s="258"/>
      <c r="H379" s="243"/>
      <c r="I379" s="260"/>
      <c r="J379" s="288">
        <f t="shared" si="39"/>
        <v>0</v>
      </c>
      <c r="K379" s="289">
        <f t="shared" si="40"/>
        <v>0</v>
      </c>
      <c r="L379" s="290">
        <f t="shared" si="38"/>
        <v>0</v>
      </c>
    </row>
    <row r="380" spans="3:12" x14ac:dyDescent="0.25">
      <c r="C380" s="255"/>
      <c r="D380" s="256"/>
      <c r="E380" s="257"/>
      <c r="F380" s="257"/>
      <c r="G380" s="258"/>
      <c r="H380" s="243"/>
      <c r="I380" s="260"/>
      <c r="J380" s="288">
        <f t="shared" si="39"/>
        <v>0</v>
      </c>
      <c r="K380" s="289">
        <f t="shared" si="40"/>
        <v>0</v>
      </c>
      <c r="L380" s="290">
        <f t="shared" si="38"/>
        <v>0</v>
      </c>
    </row>
    <row r="381" spans="3:12" x14ac:dyDescent="0.25">
      <c r="C381" s="255"/>
      <c r="D381" s="256"/>
      <c r="E381" s="257"/>
      <c r="F381" s="257"/>
      <c r="G381" s="258"/>
      <c r="H381" s="243"/>
      <c r="I381" s="260"/>
      <c r="J381" s="288">
        <f t="shared" si="39"/>
        <v>0</v>
      </c>
      <c r="K381" s="289">
        <f t="shared" si="40"/>
        <v>0</v>
      </c>
      <c r="L381" s="290">
        <f t="shared" si="38"/>
        <v>0</v>
      </c>
    </row>
    <row r="382" spans="3:12" x14ac:dyDescent="0.25">
      <c r="C382" s="255"/>
      <c r="D382" s="256"/>
      <c r="E382" s="257"/>
      <c r="F382" s="257"/>
      <c r="G382" s="258"/>
      <c r="H382" s="243"/>
      <c r="I382" s="260"/>
      <c r="J382" s="288">
        <f t="shared" si="39"/>
        <v>0</v>
      </c>
      <c r="K382" s="289">
        <f t="shared" si="40"/>
        <v>0</v>
      </c>
      <c r="L382" s="290">
        <f t="shared" si="38"/>
        <v>0</v>
      </c>
    </row>
    <row r="383" spans="3:12" x14ac:dyDescent="0.25">
      <c r="C383" s="255"/>
      <c r="D383" s="256"/>
      <c r="E383" s="257"/>
      <c r="F383" s="257"/>
      <c r="G383" s="258"/>
      <c r="H383" s="243"/>
      <c r="I383" s="260"/>
      <c r="J383" s="288">
        <f t="shared" si="39"/>
        <v>0</v>
      </c>
      <c r="K383" s="289">
        <f t="shared" si="40"/>
        <v>0</v>
      </c>
      <c r="L383" s="290">
        <f t="shared" si="38"/>
        <v>0</v>
      </c>
    </row>
    <row r="384" spans="3:12" x14ac:dyDescent="0.25">
      <c r="C384" s="255"/>
      <c r="D384" s="256"/>
      <c r="E384" s="257"/>
      <c r="F384" s="257"/>
      <c r="G384" s="258"/>
      <c r="H384" s="243"/>
      <c r="I384" s="260"/>
      <c r="J384" s="288">
        <f t="shared" si="39"/>
        <v>0</v>
      </c>
      <c r="K384" s="289">
        <f t="shared" si="40"/>
        <v>0</v>
      </c>
      <c r="L384" s="290">
        <f t="shared" si="38"/>
        <v>0</v>
      </c>
    </row>
    <row r="385" spans="3:12" x14ac:dyDescent="0.25">
      <c r="C385" s="255"/>
      <c r="D385" s="256"/>
      <c r="E385" s="257"/>
      <c r="F385" s="257"/>
      <c r="G385" s="258"/>
      <c r="H385" s="243"/>
      <c r="I385" s="260"/>
      <c r="J385" s="288">
        <f t="shared" si="39"/>
        <v>0</v>
      </c>
      <c r="K385" s="289">
        <f t="shared" si="40"/>
        <v>0</v>
      </c>
      <c r="L385" s="290">
        <f t="shared" si="38"/>
        <v>0</v>
      </c>
    </row>
    <row r="386" spans="3:12" x14ac:dyDescent="0.25">
      <c r="C386" s="255"/>
      <c r="D386" s="256"/>
      <c r="E386" s="257"/>
      <c r="F386" s="257"/>
      <c r="G386" s="258"/>
      <c r="H386" s="243"/>
      <c r="I386" s="260"/>
      <c r="J386" s="288">
        <f t="shared" si="39"/>
        <v>0</v>
      </c>
      <c r="K386" s="289">
        <f t="shared" si="40"/>
        <v>0</v>
      </c>
      <c r="L386" s="290">
        <f t="shared" si="38"/>
        <v>0</v>
      </c>
    </row>
    <row r="387" spans="3:12" x14ac:dyDescent="0.25">
      <c r="C387" s="255"/>
      <c r="D387" s="256"/>
      <c r="E387" s="257"/>
      <c r="F387" s="257"/>
      <c r="G387" s="258"/>
      <c r="H387" s="243"/>
      <c r="I387" s="260"/>
      <c r="J387" s="288">
        <f t="shared" si="39"/>
        <v>0</v>
      </c>
      <c r="K387" s="289">
        <f t="shared" si="40"/>
        <v>0</v>
      </c>
      <c r="L387" s="290">
        <f t="shared" si="38"/>
        <v>0</v>
      </c>
    </row>
    <row r="388" spans="3:12" x14ac:dyDescent="0.25">
      <c r="C388" s="255"/>
      <c r="D388" s="256"/>
      <c r="E388" s="257"/>
      <c r="F388" s="257"/>
      <c r="G388" s="258"/>
      <c r="H388" s="243"/>
      <c r="I388" s="260"/>
      <c r="J388" s="288">
        <f t="shared" si="39"/>
        <v>0</v>
      </c>
      <c r="K388" s="289">
        <f t="shared" si="40"/>
        <v>0</v>
      </c>
      <c r="L388" s="290">
        <f t="shared" si="38"/>
        <v>0</v>
      </c>
    </row>
    <row r="389" spans="3:12" x14ac:dyDescent="0.25">
      <c r="C389" s="255"/>
      <c r="D389" s="256"/>
      <c r="E389" s="257"/>
      <c r="F389" s="257"/>
      <c r="G389" s="258"/>
      <c r="H389" s="243"/>
      <c r="I389" s="260"/>
      <c r="J389" s="288">
        <f t="shared" si="39"/>
        <v>0</v>
      </c>
      <c r="K389" s="289">
        <f t="shared" si="40"/>
        <v>0</v>
      </c>
      <c r="L389" s="290">
        <f t="shared" si="38"/>
        <v>0</v>
      </c>
    </row>
    <row r="390" spans="3:12" x14ac:dyDescent="0.25">
      <c r="C390" s="255"/>
      <c r="D390" s="256"/>
      <c r="E390" s="257"/>
      <c r="F390" s="257"/>
      <c r="G390" s="258"/>
      <c r="H390" s="243"/>
      <c r="I390" s="260"/>
      <c r="J390" s="288">
        <f t="shared" si="39"/>
        <v>0</v>
      </c>
      <c r="K390" s="289">
        <f t="shared" si="40"/>
        <v>0</v>
      </c>
      <c r="L390" s="290">
        <f t="shared" si="38"/>
        <v>0</v>
      </c>
    </row>
    <row r="391" spans="3:12" x14ac:dyDescent="0.25">
      <c r="C391" s="255"/>
      <c r="D391" s="256"/>
      <c r="E391" s="257"/>
      <c r="F391" s="257"/>
      <c r="G391" s="258"/>
      <c r="H391" s="243"/>
      <c r="I391" s="260"/>
      <c r="J391" s="288">
        <f t="shared" si="39"/>
        <v>0</v>
      </c>
      <c r="K391" s="289">
        <f t="shared" si="40"/>
        <v>0</v>
      </c>
      <c r="L391" s="290">
        <f t="shared" si="38"/>
        <v>0</v>
      </c>
    </row>
    <row r="392" spans="3:12" x14ac:dyDescent="0.25">
      <c r="C392" s="255"/>
      <c r="D392" s="256"/>
      <c r="E392" s="257"/>
      <c r="F392" s="257"/>
      <c r="G392" s="258"/>
      <c r="H392" s="243"/>
      <c r="I392" s="260"/>
      <c r="J392" s="288">
        <f t="shared" si="39"/>
        <v>0</v>
      </c>
      <c r="K392" s="289">
        <f t="shared" si="40"/>
        <v>0</v>
      </c>
      <c r="L392" s="290">
        <f t="shared" si="38"/>
        <v>0</v>
      </c>
    </row>
    <row r="393" spans="3:12" x14ac:dyDescent="0.25">
      <c r="C393" s="255"/>
      <c r="D393" s="256"/>
      <c r="E393" s="257"/>
      <c r="F393" s="257"/>
      <c r="G393" s="258"/>
      <c r="H393" s="243"/>
      <c r="I393" s="260"/>
      <c r="J393" s="288">
        <f t="shared" si="39"/>
        <v>0</v>
      </c>
      <c r="K393" s="289">
        <f t="shared" si="40"/>
        <v>0</v>
      </c>
      <c r="L393" s="290">
        <f t="shared" ref="L393:L456" si="41">IFERROR(IF(J393&gt;0,K393/H393,0),0)</f>
        <v>0</v>
      </c>
    </row>
    <row r="394" spans="3:12" x14ac:dyDescent="0.25">
      <c r="C394" s="255"/>
      <c r="D394" s="256"/>
      <c r="E394" s="257"/>
      <c r="F394" s="257"/>
      <c r="G394" s="258"/>
      <c r="H394" s="243"/>
      <c r="I394" s="260"/>
      <c r="J394" s="288">
        <f t="shared" si="39"/>
        <v>0</v>
      </c>
      <c r="K394" s="289">
        <f t="shared" si="40"/>
        <v>0</v>
      </c>
      <c r="L394" s="290">
        <f t="shared" si="41"/>
        <v>0</v>
      </c>
    </row>
    <row r="395" spans="3:12" x14ac:dyDescent="0.25">
      <c r="C395" s="255"/>
      <c r="D395" s="256"/>
      <c r="E395" s="257"/>
      <c r="F395" s="257"/>
      <c r="G395" s="258"/>
      <c r="H395" s="243"/>
      <c r="I395" s="260"/>
      <c r="J395" s="288">
        <f t="shared" si="39"/>
        <v>0</v>
      </c>
      <c r="K395" s="289">
        <f t="shared" si="40"/>
        <v>0</v>
      </c>
      <c r="L395" s="290">
        <f t="shared" si="41"/>
        <v>0</v>
      </c>
    </row>
    <row r="396" spans="3:12" x14ac:dyDescent="0.25">
      <c r="C396" s="255"/>
      <c r="D396" s="256"/>
      <c r="E396" s="257"/>
      <c r="F396" s="257"/>
      <c r="G396" s="258"/>
      <c r="H396" s="243"/>
      <c r="I396" s="260"/>
      <c r="J396" s="288">
        <f t="shared" si="39"/>
        <v>0</v>
      </c>
      <c r="K396" s="289">
        <f t="shared" si="40"/>
        <v>0</v>
      </c>
      <c r="L396" s="290">
        <f t="shared" si="41"/>
        <v>0</v>
      </c>
    </row>
    <row r="397" spans="3:12" x14ac:dyDescent="0.25">
      <c r="C397" s="255"/>
      <c r="D397" s="256"/>
      <c r="E397" s="257"/>
      <c r="F397" s="257"/>
      <c r="G397" s="258"/>
      <c r="H397" s="243"/>
      <c r="I397" s="260"/>
      <c r="J397" s="288">
        <f t="shared" si="39"/>
        <v>0</v>
      </c>
      <c r="K397" s="289">
        <f t="shared" si="40"/>
        <v>0</v>
      </c>
      <c r="L397" s="290">
        <f t="shared" si="41"/>
        <v>0</v>
      </c>
    </row>
    <row r="398" spans="3:12" x14ac:dyDescent="0.25">
      <c r="C398" s="255"/>
      <c r="D398" s="256"/>
      <c r="E398" s="257"/>
      <c r="F398" s="257"/>
      <c r="G398" s="258"/>
      <c r="H398" s="243"/>
      <c r="I398" s="260"/>
      <c r="J398" s="288">
        <f t="shared" si="39"/>
        <v>0</v>
      </c>
      <c r="K398" s="289">
        <f t="shared" si="40"/>
        <v>0</v>
      </c>
      <c r="L398" s="290">
        <f t="shared" si="41"/>
        <v>0</v>
      </c>
    </row>
    <row r="399" spans="3:12" x14ac:dyDescent="0.25">
      <c r="C399" s="255"/>
      <c r="D399" s="256"/>
      <c r="E399" s="257"/>
      <c r="F399" s="257"/>
      <c r="G399" s="258"/>
      <c r="H399" s="243"/>
      <c r="I399" s="260"/>
      <c r="J399" s="288">
        <f t="shared" si="39"/>
        <v>0</v>
      </c>
      <c r="K399" s="289">
        <f t="shared" si="40"/>
        <v>0</v>
      </c>
      <c r="L399" s="290">
        <f t="shared" si="41"/>
        <v>0</v>
      </c>
    </row>
    <row r="400" spans="3:12" x14ac:dyDescent="0.25">
      <c r="C400" s="255"/>
      <c r="D400" s="256"/>
      <c r="E400" s="257"/>
      <c r="F400" s="257"/>
      <c r="G400" s="258"/>
      <c r="H400" s="243"/>
      <c r="I400" s="260"/>
      <c r="J400" s="288">
        <f t="shared" si="39"/>
        <v>0</v>
      </c>
      <c r="K400" s="289">
        <f t="shared" si="40"/>
        <v>0</v>
      </c>
      <c r="L400" s="290">
        <f t="shared" si="41"/>
        <v>0</v>
      </c>
    </row>
    <row r="401" spans="3:12" x14ac:dyDescent="0.25">
      <c r="C401" s="255"/>
      <c r="D401" s="256"/>
      <c r="E401" s="257"/>
      <c r="F401" s="257"/>
      <c r="G401" s="258"/>
      <c r="H401" s="243"/>
      <c r="I401" s="260"/>
      <c r="J401" s="288">
        <f t="shared" si="39"/>
        <v>0</v>
      </c>
      <c r="K401" s="289">
        <f t="shared" si="40"/>
        <v>0</v>
      </c>
      <c r="L401" s="290">
        <f t="shared" si="41"/>
        <v>0</v>
      </c>
    </row>
    <row r="402" spans="3:12" x14ac:dyDescent="0.25">
      <c r="C402" s="255"/>
      <c r="D402" s="256"/>
      <c r="E402" s="257"/>
      <c r="F402" s="257"/>
      <c r="G402" s="258"/>
      <c r="H402" s="243"/>
      <c r="I402" s="260"/>
      <c r="J402" s="288">
        <f t="shared" si="39"/>
        <v>0</v>
      </c>
      <c r="K402" s="289">
        <f t="shared" si="40"/>
        <v>0</v>
      </c>
      <c r="L402" s="290">
        <f t="shared" si="41"/>
        <v>0</v>
      </c>
    </row>
    <row r="403" spans="3:12" x14ac:dyDescent="0.25">
      <c r="C403" s="255"/>
      <c r="D403" s="256"/>
      <c r="E403" s="257"/>
      <c r="F403" s="257"/>
      <c r="G403" s="258"/>
      <c r="H403" s="243"/>
      <c r="I403" s="260"/>
      <c r="J403" s="288">
        <f t="shared" si="39"/>
        <v>0</v>
      </c>
      <c r="K403" s="289">
        <f t="shared" si="40"/>
        <v>0</v>
      </c>
      <c r="L403" s="290">
        <f t="shared" si="41"/>
        <v>0</v>
      </c>
    </row>
    <row r="404" spans="3:12" x14ac:dyDescent="0.25">
      <c r="C404" s="255"/>
      <c r="D404" s="256"/>
      <c r="E404" s="257"/>
      <c r="F404" s="257"/>
      <c r="G404" s="258"/>
      <c r="H404" s="243"/>
      <c r="I404" s="260"/>
      <c r="J404" s="288">
        <f t="shared" si="39"/>
        <v>0</v>
      </c>
      <c r="K404" s="289">
        <f t="shared" si="40"/>
        <v>0</v>
      </c>
      <c r="L404" s="290">
        <f t="shared" si="41"/>
        <v>0</v>
      </c>
    </row>
    <row r="405" spans="3:12" x14ac:dyDescent="0.25">
      <c r="C405" s="255"/>
      <c r="D405" s="256"/>
      <c r="E405" s="257"/>
      <c r="F405" s="257"/>
      <c r="G405" s="258"/>
      <c r="H405" s="243"/>
      <c r="I405" s="260"/>
      <c r="J405" s="288">
        <f t="shared" si="39"/>
        <v>0</v>
      </c>
      <c r="K405" s="289">
        <f t="shared" si="40"/>
        <v>0</v>
      </c>
      <c r="L405" s="290">
        <f t="shared" si="41"/>
        <v>0</v>
      </c>
    </row>
    <row r="406" spans="3:12" x14ac:dyDescent="0.25">
      <c r="C406" s="255"/>
      <c r="D406" s="256"/>
      <c r="E406" s="257"/>
      <c r="F406" s="257"/>
      <c r="G406" s="258"/>
      <c r="H406" s="243"/>
      <c r="I406" s="260"/>
      <c r="J406" s="288">
        <f t="shared" si="39"/>
        <v>0</v>
      </c>
      <c r="K406" s="289">
        <f t="shared" si="40"/>
        <v>0</v>
      </c>
      <c r="L406" s="290">
        <f t="shared" si="41"/>
        <v>0</v>
      </c>
    </row>
    <row r="407" spans="3:12" x14ac:dyDescent="0.25">
      <c r="C407" s="255"/>
      <c r="D407" s="256"/>
      <c r="E407" s="257"/>
      <c r="F407" s="257"/>
      <c r="G407" s="258"/>
      <c r="H407" s="243"/>
      <c r="I407" s="260"/>
      <c r="J407" s="288">
        <f t="shared" si="39"/>
        <v>0</v>
      </c>
      <c r="K407" s="289">
        <f t="shared" si="40"/>
        <v>0</v>
      </c>
      <c r="L407" s="290">
        <f t="shared" si="41"/>
        <v>0</v>
      </c>
    </row>
    <row r="408" spans="3:12" x14ac:dyDescent="0.25">
      <c r="C408" s="255"/>
      <c r="D408" s="256"/>
      <c r="E408" s="257"/>
      <c r="F408" s="257"/>
      <c r="G408" s="258"/>
      <c r="H408" s="243"/>
      <c r="I408" s="260"/>
      <c r="J408" s="288">
        <f t="shared" si="39"/>
        <v>0</v>
      </c>
      <c r="K408" s="289">
        <f t="shared" si="40"/>
        <v>0</v>
      </c>
      <c r="L408" s="290">
        <f t="shared" si="41"/>
        <v>0</v>
      </c>
    </row>
    <row r="409" spans="3:12" x14ac:dyDescent="0.25">
      <c r="C409" s="255"/>
      <c r="D409" s="256"/>
      <c r="E409" s="257"/>
      <c r="F409" s="257"/>
      <c r="G409" s="258"/>
      <c r="H409" s="243"/>
      <c r="I409" s="260"/>
      <c r="J409" s="288">
        <f t="shared" si="39"/>
        <v>0</v>
      </c>
      <c r="K409" s="289">
        <f t="shared" si="40"/>
        <v>0</v>
      </c>
      <c r="L409" s="290">
        <f t="shared" si="41"/>
        <v>0</v>
      </c>
    </row>
    <row r="410" spans="3:12" x14ac:dyDescent="0.25">
      <c r="C410" s="255"/>
      <c r="D410" s="256"/>
      <c r="E410" s="257"/>
      <c r="F410" s="257"/>
      <c r="G410" s="258"/>
      <c r="H410" s="243"/>
      <c r="I410" s="260"/>
      <c r="J410" s="288">
        <f t="shared" si="39"/>
        <v>0</v>
      </c>
      <c r="K410" s="289">
        <f t="shared" si="40"/>
        <v>0</v>
      </c>
      <c r="L410" s="290">
        <f t="shared" si="41"/>
        <v>0</v>
      </c>
    </row>
    <row r="411" spans="3:12" x14ac:dyDescent="0.25">
      <c r="C411" s="255"/>
      <c r="D411" s="256"/>
      <c r="E411" s="257"/>
      <c r="F411" s="257"/>
      <c r="G411" s="258"/>
      <c r="H411" s="243"/>
      <c r="I411" s="260"/>
      <c r="J411" s="288">
        <f t="shared" si="39"/>
        <v>0</v>
      </c>
      <c r="K411" s="289">
        <f t="shared" si="40"/>
        <v>0</v>
      </c>
      <c r="L411" s="290">
        <f t="shared" si="41"/>
        <v>0</v>
      </c>
    </row>
    <row r="412" spans="3:12" x14ac:dyDescent="0.25">
      <c r="C412" s="255"/>
      <c r="D412" s="256"/>
      <c r="E412" s="257"/>
      <c r="F412" s="257"/>
      <c r="G412" s="258"/>
      <c r="H412" s="243"/>
      <c r="I412" s="260"/>
      <c r="J412" s="288">
        <f t="shared" si="39"/>
        <v>0</v>
      </c>
      <c r="K412" s="289">
        <f t="shared" si="40"/>
        <v>0</v>
      </c>
      <c r="L412" s="290">
        <f t="shared" si="41"/>
        <v>0</v>
      </c>
    </row>
    <row r="413" spans="3:12" x14ac:dyDescent="0.25">
      <c r="C413" s="255"/>
      <c r="D413" s="256"/>
      <c r="E413" s="257"/>
      <c r="F413" s="257"/>
      <c r="G413" s="258"/>
      <c r="H413" s="243"/>
      <c r="I413" s="260"/>
      <c r="J413" s="288">
        <f t="shared" si="39"/>
        <v>0</v>
      </c>
      <c r="K413" s="289">
        <f t="shared" si="40"/>
        <v>0</v>
      </c>
      <c r="L413" s="290">
        <f t="shared" si="41"/>
        <v>0</v>
      </c>
    </row>
    <row r="414" spans="3:12" x14ac:dyDescent="0.25">
      <c r="C414" s="255"/>
      <c r="D414" s="256"/>
      <c r="E414" s="257"/>
      <c r="F414" s="257"/>
      <c r="G414" s="258"/>
      <c r="H414" s="243"/>
      <c r="I414" s="260"/>
      <c r="J414" s="288">
        <f t="shared" si="39"/>
        <v>0</v>
      </c>
      <c r="K414" s="289">
        <f t="shared" si="40"/>
        <v>0</v>
      </c>
      <c r="L414" s="290">
        <f t="shared" si="41"/>
        <v>0</v>
      </c>
    </row>
    <row r="415" spans="3:12" x14ac:dyDescent="0.25">
      <c r="C415" s="255"/>
      <c r="D415" s="256"/>
      <c r="E415" s="257"/>
      <c r="F415" s="257"/>
      <c r="G415" s="258"/>
      <c r="H415" s="243"/>
      <c r="I415" s="260"/>
      <c r="J415" s="288">
        <f t="shared" si="39"/>
        <v>0</v>
      </c>
      <c r="K415" s="289">
        <f t="shared" si="40"/>
        <v>0</v>
      </c>
      <c r="L415" s="290">
        <f t="shared" si="41"/>
        <v>0</v>
      </c>
    </row>
    <row r="416" spans="3:12" x14ac:dyDescent="0.25">
      <c r="C416" s="255"/>
      <c r="D416" s="256"/>
      <c r="E416" s="257"/>
      <c r="F416" s="257"/>
      <c r="G416" s="258"/>
      <c r="H416" s="243"/>
      <c r="I416" s="260"/>
      <c r="J416" s="288">
        <f t="shared" si="39"/>
        <v>0</v>
      </c>
      <c r="K416" s="289">
        <f t="shared" si="40"/>
        <v>0</v>
      </c>
      <c r="L416" s="290">
        <f t="shared" si="41"/>
        <v>0</v>
      </c>
    </row>
    <row r="417" spans="3:12" x14ac:dyDescent="0.25">
      <c r="C417" s="255"/>
      <c r="D417" s="256"/>
      <c r="E417" s="257"/>
      <c r="F417" s="257"/>
      <c r="G417" s="258"/>
      <c r="H417" s="243"/>
      <c r="I417" s="260"/>
      <c r="J417" s="288">
        <f t="shared" si="39"/>
        <v>0</v>
      </c>
      <c r="K417" s="289">
        <f t="shared" si="40"/>
        <v>0</v>
      </c>
      <c r="L417" s="290">
        <f t="shared" si="41"/>
        <v>0</v>
      </c>
    </row>
    <row r="418" spans="3:12" x14ac:dyDescent="0.25">
      <c r="C418" s="255"/>
      <c r="D418" s="256"/>
      <c r="E418" s="257"/>
      <c r="F418" s="257"/>
      <c r="G418" s="258"/>
      <c r="H418" s="243"/>
      <c r="I418" s="260"/>
      <c r="J418" s="288">
        <f t="shared" si="39"/>
        <v>0</v>
      </c>
      <c r="K418" s="289">
        <f t="shared" si="40"/>
        <v>0</v>
      </c>
      <c r="L418" s="290">
        <f t="shared" si="41"/>
        <v>0</v>
      </c>
    </row>
    <row r="419" spans="3:12" x14ac:dyDescent="0.25">
      <c r="C419" s="255"/>
      <c r="D419" s="256"/>
      <c r="E419" s="257"/>
      <c r="F419" s="257"/>
      <c r="G419" s="258"/>
      <c r="H419" s="243"/>
      <c r="I419" s="260"/>
      <c r="J419" s="288">
        <f t="shared" si="39"/>
        <v>0</v>
      </c>
      <c r="K419" s="289">
        <f t="shared" si="40"/>
        <v>0</v>
      </c>
      <c r="L419" s="290">
        <f t="shared" si="41"/>
        <v>0</v>
      </c>
    </row>
    <row r="420" spans="3:12" x14ac:dyDescent="0.25">
      <c r="C420" s="255"/>
      <c r="D420" s="256"/>
      <c r="E420" s="257"/>
      <c r="F420" s="257"/>
      <c r="G420" s="258"/>
      <c r="H420" s="243"/>
      <c r="I420" s="260"/>
      <c r="J420" s="288">
        <f t="shared" si="39"/>
        <v>0</v>
      </c>
      <c r="K420" s="289">
        <f t="shared" si="40"/>
        <v>0</v>
      </c>
      <c r="L420" s="290">
        <f t="shared" si="41"/>
        <v>0</v>
      </c>
    </row>
    <row r="421" spans="3:12" x14ac:dyDescent="0.25">
      <c r="C421" s="255"/>
      <c r="D421" s="256"/>
      <c r="E421" s="257"/>
      <c r="F421" s="257"/>
      <c r="G421" s="258"/>
      <c r="H421" s="243"/>
      <c r="I421" s="260"/>
      <c r="J421" s="288">
        <f t="shared" si="39"/>
        <v>0</v>
      </c>
      <c r="K421" s="289">
        <f t="shared" si="40"/>
        <v>0</v>
      </c>
      <c r="L421" s="290">
        <f t="shared" si="41"/>
        <v>0</v>
      </c>
    </row>
    <row r="422" spans="3:12" x14ac:dyDescent="0.25">
      <c r="C422" s="255"/>
      <c r="D422" s="256"/>
      <c r="E422" s="257"/>
      <c r="F422" s="257"/>
      <c r="G422" s="258"/>
      <c r="H422" s="243"/>
      <c r="I422" s="260"/>
      <c r="J422" s="288">
        <f t="shared" si="39"/>
        <v>0</v>
      </c>
      <c r="K422" s="289">
        <f t="shared" si="40"/>
        <v>0</v>
      </c>
      <c r="L422" s="290">
        <f t="shared" si="41"/>
        <v>0</v>
      </c>
    </row>
    <row r="423" spans="3:12" x14ac:dyDescent="0.25">
      <c r="C423" s="255"/>
      <c r="D423" s="256"/>
      <c r="E423" s="257"/>
      <c r="F423" s="257"/>
      <c r="G423" s="258"/>
      <c r="H423" s="243"/>
      <c r="I423" s="260"/>
      <c r="J423" s="288">
        <f t="shared" si="39"/>
        <v>0</v>
      </c>
      <c r="K423" s="289">
        <f t="shared" si="40"/>
        <v>0</v>
      </c>
      <c r="L423" s="290">
        <f t="shared" si="41"/>
        <v>0</v>
      </c>
    </row>
    <row r="424" spans="3:12" x14ac:dyDescent="0.25">
      <c r="C424" s="255"/>
      <c r="D424" s="256"/>
      <c r="E424" s="257"/>
      <c r="F424" s="257"/>
      <c r="G424" s="258"/>
      <c r="H424" s="243"/>
      <c r="I424" s="260"/>
      <c r="J424" s="288">
        <f t="shared" si="39"/>
        <v>0</v>
      </c>
      <c r="K424" s="289">
        <f t="shared" si="40"/>
        <v>0</v>
      </c>
      <c r="L424" s="290">
        <f t="shared" si="41"/>
        <v>0</v>
      </c>
    </row>
    <row r="425" spans="3:12" x14ac:dyDescent="0.25">
      <c r="C425" s="255"/>
      <c r="D425" s="256"/>
      <c r="E425" s="257"/>
      <c r="F425" s="257"/>
      <c r="G425" s="258"/>
      <c r="H425" s="243"/>
      <c r="I425" s="260"/>
      <c r="J425" s="288">
        <f t="shared" si="39"/>
        <v>0</v>
      </c>
      <c r="K425" s="289">
        <f t="shared" si="40"/>
        <v>0</v>
      </c>
      <c r="L425" s="290">
        <f t="shared" si="41"/>
        <v>0</v>
      </c>
    </row>
    <row r="426" spans="3:12" x14ac:dyDescent="0.25">
      <c r="C426" s="255"/>
      <c r="D426" s="256"/>
      <c r="E426" s="257"/>
      <c r="F426" s="257"/>
      <c r="G426" s="258"/>
      <c r="H426" s="243"/>
      <c r="I426" s="260"/>
      <c r="J426" s="288">
        <f t="shared" si="39"/>
        <v>0</v>
      </c>
      <c r="K426" s="289">
        <f t="shared" si="40"/>
        <v>0</v>
      </c>
      <c r="L426" s="290">
        <f t="shared" si="41"/>
        <v>0</v>
      </c>
    </row>
    <row r="427" spans="3:12" x14ac:dyDescent="0.25">
      <c r="C427" s="255"/>
      <c r="D427" s="256"/>
      <c r="E427" s="257"/>
      <c r="F427" s="257"/>
      <c r="G427" s="258"/>
      <c r="H427" s="243"/>
      <c r="I427" s="260"/>
      <c r="J427" s="288">
        <f t="shared" si="39"/>
        <v>0</v>
      </c>
      <c r="K427" s="289">
        <f t="shared" si="40"/>
        <v>0</v>
      </c>
      <c r="L427" s="290">
        <f t="shared" si="41"/>
        <v>0</v>
      </c>
    </row>
    <row r="428" spans="3:12" x14ac:dyDescent="0.25">
      <c r="C428" s="255"/>
      <c r="D428" s="256"/>
      <c r="E428" s="257"/>
      <c r="F428" s="257"/>
      <c r="G428" s="258"/>
      <c r="H428" s="243"/>
      <c r="I428" s="260"/>
      <c r="J428" s="288">
        <f t="shared" si="39"/>
        <v>0</v>
      </c>
      <c r="K428" s="289">
        <f t="shared" si="40"/>
        <v>0</v>
      </c>
      <c r="L428" s="290">
        <f t="shared" si="41"/>
        <v>0</v>
      </c>
    </row>
    <row r="429" spans="3:12" x14ac:dyDescent="0.25">
      <c r="C429" s="255"/>
      <c r="D429" s="256"/>
      <c r="E429" s="257"/>
      <c r="F429" s="257"/>
      <c r="G429" s="258"/>
      <c r="H429" s="243"/>
      <c r="I429" s="260"/>
      <c r="J429" s="288">
        <f t="shared" si="39"/>
        <v>0</v>
      </c>
      <c r="K429" s="289">
        <f t="shared" si="40"/>
        <v>0</v>
      </c>
      <c r="L429" s="290">
        <f t="shared" si="41"/>
        <v>0</v>
      </c>
    </row>
    <row r="430" spans="3:12" x14ac:dyDescent="0.25">
      <c r="C430" s="255"/>
      <c r="D430" s="256"/>
      <c r="E430" s="257"/>
      <c r="F430" s="257"/>
      <c r="G430" s="258"/>
      <c r="H430" s="243"/>
      <c r="I430" s="260"/>
      <c r="J430" s="288">
        <f t="shared" si="39"/>
        <v>0</v>
      </c>
      <c r="K430" s="289">
        <f t="shared" si="40"/>
        <v>0</v>
      </c>
      <c r="L430" s="290">
        <f t="shared" si="41"/>
        <v>0</v>
      </c>
    </row>
    <row r="431" spans="3:12" x14ac:dyDescent="0.25">
      <c r="C431" s="255"/>
      <c r="D431" s="256"/>
      <c r="E431" s="257"/>
      <c r="F431" s="257"/>
      <c r="G431" s="258"/>
      <c r="H431" s="243"/>
      <c r="I431" s="260"/>
      <c r="J431" s="288">
        <f t="shared" si="39"/>
        <v>0</v>
      </c>
      <c r="K431" s="289">
        <f t="shared" si="40"/>
        <v>0</v>
      </c>
      <c r="L431" s="290">
        <f t="shared" si="41"/>
        <v>0</v>
      </c>
    </row>
    <row r="432" spans="3:12" x14ac:dyDescent="0.25">
      <c r="C432" s="255"/>
      <c r="D432" s="256"/>
      <c r="E432" s="257"/>
      <c r="F432" s="257"/>
      <c r="G432" s="258"/>
      <c r="H432" s="243"/>
      <c r="I432" s="260"/>
      <c r="J432" s="288">
        <f t="shared" si="39"/>
        <v>0</v>
      </c>
      <c r="K432" s="289">
        <f t="shared" si="40"/>
        <v>0</v>
      </c>
      <c r="L432" s="290">
        <f t="shared" si="41"/>
        <v>0</v>
      </c>
    </row>
    <row r="433" spans="3:12" x14ac:dyDescent="0.25">
      <c r="C433" s="255"/>
      <c r="D433" s="256"/>
      <c r="E433" s="257"/>
      <c r="F433" s="257"/>
      <c r="G433" s="258"/>
      <c r="H433" s="243"/>
      <c r="I433" s="260"/>
      <c r="J433" s="288">
        <f t="shared" si="39"/>
        <v>0</v>
      </c>
      <c r="K433" s="289">
        <f t="shared" si="40"/>
        <v>0</v>
      </c>
      <c r="L433" s="290">
        <f t="shared" si="41"/>
        <v>0</v>
      </c>
    </row>
    <row r="434" spans="3:12" x14ac:dyDescent="0.25">
      <c r="C434" s="255"/>
      <c r="D434" s="256"/>
      <c r="E434" s="257"/>
      <c r="F434" s="257"/>
      <c r="G434" s="258"/>
      <c r="H434" s="243"/>
      <c r="I434" s="260"/>
      <c r="J434" s="288">
        <f t="shared" si="39"/>
        <v>0</v>
      </c>
      <c r="K434" s="289">
        <f t="shared" si="40"/>
        <v>0</v>
      </c>
      <c r="L434" s="290">
        <f t="shared" si="41"/>
        <v>0</v>
      </c>
    </row>
    <row r="435" spans="3:12" x14ac:dyDescent="0.25">
      <c r="C435" s="255"/>
      <c r="D435" s="256"/>
      <c r="E435" s="257"/>
      <c r="F435" s="257"/>
      <c r="G435" s="258"/>
      <c r="H435" s="243"/>
      <c r="I435" s="260"/>
      <c r="J435" s="288">
        <f t="shared" si="39"/>
        <v>0</v>
      </c>
      <c r="K435" s="289">
        <f t="shared" si="40"/>
        <v>0</v>
      </c>
      <c r="L435" s="290">
        <f t="shared" si="41"/>
        <v>0</v>
      </c>
    </row>
    <row r="436" spans="3:12" x14ac:dyDescent="0.25">
      <c r="C436" s="255"/>
      <c r="D436" s="256"/>
      <c r="E436" s="257"/>
      <c r="F436" s="257"/>
      <c r="G436" s="258"/>
      <c r="H436" s="243"/>
      <c r="I436" s="260"/>
      <c r="J436" s="288">
        <f t="shared" si="39"/>
        <v>0</v>
      </c>
      <c r="K436" s="289">
        <f t="shared" si="40"/>
        <v>0</v>
      </c>
      <c r="L436" s="290">
        <f t="shared" si="41"/>
        <v>0</v>
      </c>
    </row>
    <row r="437" spans="3:12" x14ac:dyDescent="0.25">
      <c r="C437" s="255"/>
      <c r="D437" s="256"/>
      <c r="E437" s="257"/>
      <c r="F437" s="257"/>
      <c r="G437" s="258"/>
      <c r="H437" s="243"/>
      <c r="I437" s="260"/>
      <c r="J437" s="288">
        <f t="shared" si="39"/>
        <v>0</v>
      </c>
      <c r="K437" s="289">
        <f t="shared" si="40"/>
        <v>0</v>
      </c>
      <c r="L437" s="290">
        <f t="shared" si="41"/>
        <v>0</v>
      </c>
    </row>
    <row r="438" spans="3:12" x14ac:dyDescent="0.25">
      <c r="C438" s="255"/>
      <c r="D438" s="256"/>
      <c r="E438" s="257"/>
      <c r="F438" s="257"/>
      <c r="G438" s="258"/>
      <c r="H438" s="243"/>
      <c r="I438" s="260"/>
      <c r="J438" s="288">
        <f t="shared" si="39"/>
        <v>0</v>
      </c>
      <c r="K438" s="289">
        <f t="shared" si="40"/>
        <v>0</v>
      </c>
      <c r="L438" s="290">
        <f t="shared" si="41"/>
        <v>0</v>
      </c>
    </row>
    <row r="439" spans="3:12" x14ac:dyDescent="0.25">
      <c r="C439" s="255"/>
      <c r="D439" s="256"/>
      <c r="E439" s="257"/>
      <c r="F439" s="257"/>
      <c r="G439" s="258"/>
      <c r="H439" s="243"/>
      <c r="I439" s="260"/>
      <c r="J439" s="288">
        <f t="shared" si="39"/>
        <v>0</v>
      </c>
      <c r="K439" s="289">
        <f t="shared" si="40"/>
        <v>0</v>
      </c>
      <c r="L439" s="290">
        <f t="shared" si="41"/>
        <v>0</v>
      </c>
    </row>
    <row r="440" spans="3:12" x14ac:dyDescent="0.25">
      <c r="C440" s="255"/>
      <c r="D440" s="256"/>
      <c r="E440" s="257"/>
      <c r="F440" s="257"/>
      <c r="G440" s="258"/>
      <c r="H440" s="243"/>
      <c r="I440" s="260"/>
      <c r="J440" s="288">
        <f t="shared" si="39"/>
        <v>0</v>
      </c>
      <c r="K440" s="289">
        <f t="shared" si="40"/>
        <v>0</v>
      </c>
      <c r="L440" s="290">
        <f t="shared" si="41"/>
        <v>0</v>
      </c>
    </row>
    <row r="441" spans="3:12" x14ac:dyDescent="0.25">
      <c r="C441" s="255"/>
      <c r="D441" s="256"/>
      <c r="E441" s="257"/>
      <c r="F441" s="257"/>
      <c r="G441" s="258"/>
      <c r="H441" s="243"/>
      <c r="I441" s="260"/>
      <c r="J441" s="288">
        <f t="shared" ref="J441:J499" si="42">IFERROR(IF(E441="Commercial",VLOOKUP(D441,$N$40:$P$46,3,FALSE),VLOOKUP(E441,$N$18:$P$24,3,FALSE)),0)</f>
        <v>0</v>
      </c>
      <c r="K441" s="289">
        <f t="shared" ref="K441:K499" si="43">J441-H441</f>
        <v>0</v>
      </c>
      <c r="L441" s="290">
        <f t="shared" si="41"/>
        <v>0</v>
      </c>
    </row>
    <row r="442" spans="3:12" x14ac:dyDescent="0.25">
      <c r="C442" s="255"/>
      <c r="D442" s="256"/>
      <c r="E442" s="257"/>
      <c r="F442" s="257"/>
      <c r="G442" s="258"/>
      <c r="H442" s="243"/>
      <c r="I442" s="260"/>
      <c r="J442" s="288">
        <f t="shared" si="42"/>
        <v>0</v>
      </c>
      <c r="K442" s="289">
        <f t="shared" si="43"/>
        <v>0</v>
      </c>
      <c r="L442" s="290">
        <f t="shared" si="41"/>
        <v>0</v>
      </c>
    </row>
    <row r="443" spans="3:12" x14ac:dyDescent="0.25">
      <c r="C443" s="255"/>
      <c r="D443" s="256"/>
      <c r="E443" s="257"/>
      <c r="F443" s="257"/>
      <c r="G443" s="258"/>
      <c r="H443" s="243"/>
      <c r="I443" s="260"/>
      <c r="J443" s="288">
        <f t="shared" si="42"/>
        <v>0</v>
      </c>
      <c r="K443" s="289">
        <f t="shared" si="43"/>
        <v>0</v>
      </c>
      <c r="L443" s="290">
        <f t="shared" si="41"/>
        <v>0</v>
      </c>
    </row>
    <row r="444" spans="3:12" x14ac:dyDescent="0.25">
      <c r="C444" s="255"/>
      <c r="D444" s="256"/>
      <c r="E444" s="257"/>
      <c r="F444" s="257"/>
      <c r="G444" s="258"/>
      <c r="H444" s="243"/>
      <c r="I444" s="260"/>
      <c r="J444" s="288">
        <f t="shared" si="42"/>
        <v>0</v>
      </c>
      <c r="K444" s="289">
        <f t="shared" si="43"/>
        <v>0</v>
      </c>
      <c r="L444" s="290">
        <f t="shared" si="41"/>
        <v>0</v>
      </c>
    </row>
    <row r="445" spans="3:12" x14ac:dyDescent="0.25">
      <c r="C445" s="255"/>
      <c r="D445" s="256"/>
      <c r="E445" s="257"/>
      <c r="F445" s="257"/>
      <c r="G445" s="258"/>
      <c r="H445" s="243"/>
      <c r="I445" s="260"/>
      <c r="J445" s="288">
        <f t="shared" si="42"/>
        <v>0</v>
      </c>
      <c r="K445" s="289">
        <f t="shared" si="43"/>
        <v>0</v>
      </c>
      <c r="L445" s="290">
        <f t="shared" si="41"/>
        <v>0</v>
      </c>
    </row>
    <row r="446" spans="3:12" x14ac:dyDescent="0.25">
      <c r="C446" s="255"/>
      <c r="D446" s="256"/>
      <c r="E446" s="257"/>
      <c r="F446" s="257"/>
      <c r="G446" s="258"/>
      <c r="H446" s="243"/>
      <c r="I446" s="260"/>
      <c r="J446" s="288">
        <f t="shared" si="42"/>
        <v>0</v>
      </c>
      <c r="K446" s="289">
        <f t="shared" si="43"/>
        <v>0</v>
      </c>
      <c r="L446" s="290">
        <f t="shared" si="41"/>
        <v>0</v>
      </c>
    </row>
    <row r="447" spans="3:12" x14ac:dyDescent="0.25">
      <c r="C447" s="255"/>
      <c r="D447" s="256"/>
      <c r="E447" s="257"/>
      <c r="F447" s="257"/>
      <c r="G447" s="258"/>
      <c r="H447" s="243"/>
      <c r="I447" s="260"/>
      <c r="J447" s="288">
        <f t="shared" si="42"/>
        <v>0</v>
      </c>
      <c r="K447" s="289">
        <f t="shared" si="43"/>
        <v>0</v>
      </c>
      <c r="L447" s="290">
        <f t="shared" si="41"/>
        <v>0</v>
      </c>
    </row>
    <row r="448" spans="3:12" x14ac:dyDescent="0.25">
      <c r="C448" s="255"/>
      <c r="D448" s="256"/>
      <c r="E448" s="257"/>
      <c r="F448" s="257"/>
      <c r="G448" s="258"/>
      <c r="H448" s="243"/>
      <c r="I448" s="260"/>
      <c r="J448" s="288">
        <f t="shared" si="42"/>
        <v>0</v>
      </c>
      <c r="K448" s="289">
        <f t="shared" si="43"/>
        <v>0</v>
      </c>
      <c r="L448" s="290">
        <f t="shared" si="41"/>
        <v>0</v>
      </c>
    </row>
    <row r="449" spans="3:12" x14ac:dyDescent="0.25">
      <c r="C449" s="255"/>
      <c r="D449" s="256"/>
      <c r="E449" s="257"/>
      <c r="F449" s="257"/>
      <c r="G449" s="258"/>
      <c r="H449" s="243"/>
      <c r="I449" s="260"/>
      <c r="J449" s="288">
        <f t="shared" si="42"/>
        <v>0</v>
      </c>
      <c r="K449" s="289">
        <f t="shared" si="43"/>
        <v>0</v>
      </c>
      <c r="L449" s="290">
        <f t="shared" si="41"/>
        <v>0</v>
      </c>
    </row>
    <row r="450" spans="3:12" x14ac:dyDescent="0.25">
      <c r="C450" s="255"/>
      <c r="D450" s="256"/>
      <c r="E450" s="257"/>
      <c r="F450" s="257"/>
      <c r="G450" s="258"/>
      <c r="H450" s="243"/>
      <c r="I450" s="260"/>
      <c r="J450" s="288">
        <f t="shared" si="42"/>
        <v>0</v>
      </c>
      <c r="K450" s="289">
        <f t="shared" si="43"/>
        <v>0</v>
      </c>
      <c r="L450" s="290">
        <f t="shared" si="41"/>
        <v>0</v>
      </c>
    </row>
    <row r="451" spans="3:12" x14ac:dyDescent="0.25">
      <c r="C451" s="255"/>
      <c r="D451" s="256"/>
      <c r="E451" s="257"/>
      <c r="F451" s="257"/>
      <c r="G451" s="258"/>
      <c r="H451" s="243"/>
      <c r="I451" s="260"/>
      <c r="J451" s="288">
        <f t="shared" si="42"/>
        <v>0</v>
      </c>
      <c r="K451" s="289">
        <f t="shared" si="43"/>
        <v>0</v>
      </c>
      <c r="L451" s="290">
        <f t="shared" si="41"/>
        <v>0</v>
      </c>
    </row>
    <row r="452" spans="3:12" x14ac:dyDescent="0.25">
      <c r="C452" s="255"/>
      <c r="D452" s="256"/>
      <c r="E452" s="257"/>
      <c r="F452" s="257"/>
      <c r="G452" s="258"/>
      <c r="H452" s="243"/>
      <c r="I452" s="260"/>
      <c r="J452" s="288">
        <f t="shared" si="42"/>
        <v>0</v>
      </c>
      <c r="K452" s="289">
        <f t="shared" si="43"/>
        <v>0</v>
      </c>
      <c r="L452" s="290">
        <f t="shared" si="41"/>
        <v>0</v>
      </c>
    </row>
    <row r="453" spans="3:12" x14ac:dyDescent="0.25">
      <c r="C453" s="255"/>
      <c r="D453" s="256"/>
      <c r="E453" s="257"/>
      <c r="F453" s="257"/>
      <c r="G453" s="258"/>
      <c r="H453" s="243"/>
      <c r="I453" s="260"/>
      <c r="J453" s="288">
        <f t="shared" si="42"/>
        <v>0</v>
      </c>
      <c r="K453" s="289">
        <f t="shared" si="43"/>
        <v>0</v>
      </c>
      <c r="L453" s="290">
        <f t="shared" si="41"/>
        <v>0</v>
      </c>
    </row>
    <row r="454" spans="3:12" x14ac:dyDescent="0.25">
      <c r="C454" s="255"/>
      <c r="D454" s="256"/>
      <c r="E454" s="257"/>
      <c r="F454" s="257"/>
      <c r="G454" s="258"/>
      <c r="H454" s="243"/>
      <c r="I454" s="260"/>
      <c r="J454" s="288">
        <f t="shared" si="42"/>
        <v>0</v>
      </c>
      <c r="K454" s="289">
        <f t="shared" si="43"/>
        <v>0</v>
      </c>
      <c r="L454" s="290">
        <f t="shared" si="41"/>
        <v>0</v>
      </c>
    </row>
    <row r="455" spans="3:12" x14ac:dyDescent="0.25">
      <c r="C455" s="255"/>
      <c r="D455" s="256"/>
      <c r="E455" s="257"/>
      <c r="F455" s="257"/>
      <c r="G455" s="258"/>
      <c r="H455" s="243"/>
      <c r="I455" s="260"/>
      <c r="J455" s="288">
        <f t="shared" si="42"/>
        <v>0</v>
      </c>
      <c r="K455" s="289">
        <f t="shared" si="43"/>
        <v>0</v>
      </c>
      <c r="L455" s="290">
        <f t="shared" si="41"/>
        <v>0</v>
      </c>
    </row>
    <row r="456" spans="3:12" x14ac:dyDescent="0.25">
      <c r="C456" s="255"/>
      <c r="D456" s="256"/>
      <c r="E456" s="257"/>
      <c r="F456" s="257"/>
      <c r="G456" s="258"/>
      <c r="H456" s="243"/>
      <c r="I456" s="260"/>
      <c r="J456" s="288">
        <f t="shared" si="42"/>
        <v>0</v>
      </c>
      <c r="K456" s="289">
        <f t="shared" si="43"/>
        <v>0</v>
      </c>
      <c r="L456" s="290">
        <f t="shared" si="41"/>
        <v>0</v>
      </c>
    </row>
    <row r="457" spans="3:12" x14ac:dyDescent="0.25">
      <c r="C457" s="255"/>
      <c r="D457" s="256"/>
      <c r="E457" s="257"/>
      <c r="F457" s="257"/>
      <c r="G457" s="258"/>
      <c r="H457" s="243"/>
      <c r="I457" s="260"/>
      <c r="J457" s="288">
        <f t="shared" si="42"/>
        <v>0</v>
      </c>
      <c r="K457" s="289">
        <f t="shared" si="43"/>
        <v>0</v>
      </c>
      <c r="L457" s="290">
        <f t="shared" ref="L457:L500" si="44">IFERROR(IF(J457&gt;0,K457/H457,0),0)</f>
        <v>0</v>
      </c>
    </row>
    <row r="458" spans="3:12" x14ac:dyDescent="0.25">
      <c r="C458" s="255"/>
      <c r="D458" s="256"/>
      <c r="E458" s="257"/>
      <c r="F458" s="257"/>
      <c r="G458" s="258"/>
      <c r="H458" s="243"/>
      <c r="I458" s="260"/>
      <c r="J458" s="288">
        <f t="shared" si="42"/>
        <v>0</v>
      </c>
      <c r="K458" s="289">
        <f t="shared" si="43"/>
        <v>0</v>
      </c>
      <c r="L458" s="290">
        <f t="shared" si="44"/>
        <v>0</v>
      </c>
    </row>
    <row r="459" spans="3:12" x14ac:dyDescent="0.25">
      <c r="C459" s="255"/>
      <c r="D459" s="256"/>
      <c r="E459" s="257"/>
      <c r="F459" s="257"/>
      <c r="G459" s="258"/>
      <c r="H459" s="243"/>
      <c r="I459" s="260"/>
      <c r="J459" s="288">
        <f t="shared" si="42"/>
        <v>0</v>
      </c>
      <c r="K459" s="289">
        <f t="shared" si="43"/>
        <v>0</v>
      </c>
      <c r="L459" s="290">
        <f t="shared" si="44"/>
        <v>0</v>
      </c>
    </row>
    <row r="460" spans="3:12" x14ac:dyDescent="0.25">
      <c r="C460" s="255"/>
      <c r="D460" s="256"/>
      <c r="E460" s="257"/>
      <c r="F460" s="257"/>
      <c r="G460" s="258"/>
      <c r="H460" s="243"/>
      <c r="I460" s="260"/>
      <c r="J460" s="288">
        <f t="shared" si="42"/>
        <v>0</v>
      </c>
      <c r="K460" s="289">
        <f t="shared" si="43"/>
        <v>0</v>
      </c>
      <c r="L460" s="290">
        <f t="shared" si="44"/>
        <v>0</v>
      </c>
    </row>
    <row r="461" spans="3:12" x14ac:dyDescent="0.25">
      <c r="C461" s="255"/>
      <c r="D461" s="256"/>
      <c r="E461" s="257"/>
      <c r="F461" s="257"/>
      <c r="G461" s="258"/>
      <c r="H461" s="243"/>
      <c r="I461" s="260"/>
      <c r="J461" s="288">
        <f t="shared" si="42"/>
        <v>0</v>
      </c>
      <c r="K461" s="289">
        <f t="shared" si="43"/>
        <v>0</v>
      </c>
      <c r="L461" s="290">
        <f t="shared" si="44"/>
        <v>0</v>
      </c>
    </row>
    <row r="462" spans="3:12" x14ac:dyDescent="0.25">
      <c r="C462" s="255"/>
      <c r="D462" s="256"/>
      <c r="E462" s="257"/>
      <c r="F462" s="257"/>
      <c r="G462" s="258"/>
      <c r="H462" s="243"/>
      <c r="I462" s="260"/>
      <c r="J462" s="288">
        <f t="shared" si="42"/>
        <v>0</v>
      </c>
      <c r="K462" s="289">
        <f t="shared" si="43"/>
        <v>0</v>
      </c>
      <c r="L462" s="290">
        <f t="shared" si="44"/>
        <v>0</v>
      </c>
    </row>
    <row r="463" spans="3:12" x14ac:dyDescent="0.25">
      <c r="C463" s="255"/>
      <c r="D463" s="256"/>
      <c r="E463" s="257"/>
      <c r="F463" s="257"/>
      <c r="G463" s="258"/>
      <c r="H463" s="243"/>
      <c r="I463" s="260"/>
      <c r="J463" s="288">
        <f t="shared" si="42"/>
        <v>0</v>
      </c>
      <c r="K463" s="289">
        <f t="shared" si="43"/>
        <v>0</v>
      </c>
      <c r="L463" s="290">
        <f t="shared" si="44"/>
        <v>0</v>
      </c>
    </row>
    <row r="464" spans="3:12" x14ac:dyDescent="0.25">
      <c r="C464" s="255"/>
      <c r="D464" s="256"/>
      <c r="E464" s="257"/>
      <c r="F464" s="257"/>
      <c r="G464" s="258"/>
      <c r="H464" s="243"/>
      <c r="I464" s="260"/>
      <c r="J464" s="288">
        <f t="shared" si="42"/>
        <v>0</v>
      </c>
      <c r="K464" s="289">
        <f t="shared" si="43"/>
        <v>0</v>
      </c>
      <c r="L464" s="290">
        <f t="shared" si="44"/>
        <v>0</v>
      </c>
    </row>
    <row r="465" spans="3:12" x14ac:dyDescent="0.25">
      <c r="C465" s="255"/>
      <c r="D465" s="256"/>
      <c r="E465" s="257"/>
      <c r="F465" s="257"/>
      <c r="G465" s="258"/>
      <c r="H465" s="243"/>
      <c r="I465" s="260"/>
      <c r="J465" s="288">
        <f t="shared" si="42"/>
        <v>0</v>
      </c>
      <c r="K465" s="289">
        <f t="shared" si="43"/>
        <v>0</v>
      </c>
      <c r="L465" s="290">
        <f t="shared" si="44"/>
        <v>0</v>
      </c>
    </row>
    <row r="466" spans="3:12" x14ac:dyDescent="0.25">
      <c r="C466" s="255"/>
      <c r="D466" s="256"/>
      <c r="E466" s="257"/>
      <c r="F466" s="257"/>
      <c r="G466" s="258"/>
      <c r="H466" s="243"/>
      <c r="I466" s="260"/>
      <c r="J466" s="288">
        <f t="shared" si="42"/>
        <v>0</v>
      </c>
      <c r="K466" s="289">
        <f t="shared" si="43"/>
        <v>0</v>
      </c>
      <c r="L466" s="290">
        <f t="shared" si="44"/>
        <v>0</v>
      </c>
    </row>
    <row r="467" spans="3:12" x14ac:dyDescent="0.25">
      <c r="C467" s="255"/>
      <c r="D467" s="256"/>
      <c r="E467" s="257"/>
      <c r="F467" s="257"/>
      <c r="G467" s="258"/>
      <c r="H467" s="243"/>
      <c r="I467" s="260"/>
      <c r="J467" s="288">
        <f t="shared" si="42"/>
        <v>0</v>
      </c>
      <c r="K467" s="289">
        <f t="shared" si="43"/>
        <v>0</v>
      </c>
      <c r="L467" s="290">
        <f t="shared" si="44"/>
        <v>0</v>
      </c>
    </row>
    <row r="468" spans="3:12" x14ac:dyDescent="0.25">
      <c r="C468" s="255"/>
      <c r="D468" s="256"/>
      <c r="E468" s="257"/>
      <c r="F468" s="257"/>
      <c r="G468" s="258"/>
      <c r="H468" s="243"/>
      <c r="I468" s="260"/>
      <c r="J468" s="288">
        <f t="shared" si="42"/>
        <v>0</v>
      </c>
      <c r="K468" s="289">
        <f t="shared" si="43"/>
        <v>0</v>
      </c>
      <c r="L468" s="290">
        <f t="shared" si="44"/>
        <v>0</v>
      </c>
    </row>
    <row r="469" spans="3:12" x14ac:dyDescent="0.25">
      <c r="C469" s="255"/>
      <c r="D469" s="256"/>
      <c r="E469" s="257"/>
      <c r="F469" s="257"/>
      <c r="G469" s="258"/>
      <c r="H469" s="243"/>
      <c r="I469" s="260"/>
      <c r="J469" s="288">
        <f t="shared" si="42"/>
        <v>0</v>
      </c>
      <c r="K469" s="289">
        <f t="shared" si="43"/>
        <v>0</v>
      </c>
      <c r="L469" s="290">
        <f t="shared" si="44"/>
        <v>0</v>
      </c>
    </row>
    <row r="470" spans="3:12" x14ac:dyDescent="0.25">
      <c r="C470" s="255"/>
      <c r="D470" s="256"/>
      <c r="E470" s="257"/>
      <c r="F470" s="257"/>
      <c r="G470" s="258"/>
      <c r="H470" s="243"/>
      <c r="I470" s="260"/>
      <c r="J470" s="288">
        <f t="shared" si="42"/>
        <v>0</v>
      </c>
      <c r="K470" s="289">
        <f t="shared" si="43"/>
        <v>0</v>
      </c>
      <c r="L470" s="290">
        <f t="shared" si="44"/>
        <v>0</v>
      </c>
    </row>
    <row r="471" spans="3:12" x14ac:dyDescent="0.25">
      <c r="C471" s="255"/>
      <c r="D471" s="256"/>
      <c r="E471" s="257"/>
      <c r="F471" s="257"/>
      <c r="G471" s="258"/>
      <c r="H471" s="243"/>
      <c r="I471" s="260"/>
      <c r="J471" s="288">
        <f t="shared" si="42"/>
        <v>0</v>
      </c>
      <c r="K471" s="289">
        <f t="shared" si="43"/>
        <v>0</v>
      </c>
      <c r="L471" s="290">
        <f t="shared" si="44"/>
        <v>0</v>
      </c>
    </row>
    <row r="472" spans="3:12" x14ac:dyDescent="0.25">
      <c r="C472" s="255"/>
      <c r="D472" s="256"/>
      <c r="E472" s="257"/>
      <c r="F472" s="257"/>
      <c r="G472" s="258"/>
      <c r="H472" s="243"/>
      <c r="I472" s="260"/>
      <c r="J472" s="288">
        <f t="shared" si="42"/>
        <v>0</v>
      </c>
      <c r="K472" s="289">
        <f t="shared" si="43"/>
        <v>0</v>
      </c>
      <c r="L472" s="290">
        <f t="shared" si="44"/>
        <v>0</v>
      </c>
    </row>
    <row r="473" spans="3:12" x14ac:dyDescent="0.25">
      <c r="C473" s="255"/>
      <c r="D473" s="256"/>
      <c r="E473" s="257"/>
      <c r="F473" s="257"/>
      <c r="G473" s="258"/>
      <c r="H473" s="243"/>
      <c r="I473" s="260"/>
      <c r="J473" s="288">
        <f t="shared" si="42"/>
        <v>0</v>
      </c>
      <c r="K473" s="289">
        <f t="shared" si="43"/>
        <v>0</v>
      </c>
      <c r="L473" s="290">
        <f t="shared" si="44"/>
        <v>0</v>
      </c>
    </row>
    <row r="474" spans="3:12" x14ac:dyDescent="0.25">
      <c r="C474" s="255"/>
      <c r="D474" s="256"/>
      <c r="E474" s="257"/>
      <c r="F474" s="257"/>
      <c r="G474" s="258"/>
      <c r="H474" s="243"/>
      <c r="I474" s="260"/>
      <c r="J474" s="288">
        <f t="shared" si="42"/>
        <v>0</v>
      </c>
      <c r="K474" s="289">
        <f t="shared" si="43"/>
        <v>0</v>
      </c>
      <c r="L474" s="290">
        <f t="shared" si="44"/>
        <v>0</v>
      </c>
    </row>
    <row r="475" spans="3:12" x14ac:dyDescent="0.25">
      <c r="C475" s="255"/>
      <c r="D475" s="256"/>
      <c r="E475" s="257"/>
      <c r="F475" s="257"/>
      <c r="G475" s="258"/>
      <c r="H475" s="243"/>
      <c r="I475" s="260"/>
      <c r="J475" s="288">
        <f t="shared" si="42"/>
        <v>0</v>
      </c>
      <c r="K475" s="289">
        <f t="shared" si="43"/>
        <v>0</v>
      </c>
      <c r="L475" s="290">
        <f t="shared" si="44"/>
        <v>0</v>
      </c>
    </row>
    <row r="476" spans="3:12" x14ac:dyDescent="0.25">
      <c r="C476" s="255"/>
      <c r="D476" s="256"/>
      <c r="E476" s="257"/>
      <c r="F476" s="257"/>
      <c r="G476" s="258"/>
      <c r="H476" s="243"/>
      <c r="I476" s="260"/>
      <c r="J476" s="288">
        <f t="shared" si="42"/>
        <v>0</v>
      </c>
      <c r="K476" s="289">
        <f t="shared" si="43"/>
        <v>0</v>
      </c>
      <c r="L476" s="290">
        <f t="shared" si="44"/>
        <v>0</v>
      </c>
    </row>
    <row r="477" spans="3:12" x14ac:dyDescent="0.25">
      <c r="C477" s="255"/>
      <c r="D477" s="256"/>
      <c r="E477" s="257"/>
      <c r="F477" s="257"/>
      <c r="G477" s="258"/>
      <c r="H477" s="243"/>
      <c r="I477" s="260"/>
      <c r="J477" s="288">
        <f t="shared" si="42"/>
        <v>0</v>
      </c>
      <c r="K477" s="289">
        <f t="shared" si="43"/>
        <v>0</v>
      </c>
      <c r="L477" s="290">
        <f t="shared" si="44"/>
        <v>0</v>
      </c>
    </row>
    <row r="478" spans="3:12" x14ac:dyDescent="0.25">
      <c r="C478" s="255"/>
      <c r="D478" s="256"/>
      <c r="E478" s="257"/>
      <c r="F478" s="257"/>
      <c r="G478" s="258"/>
      <c r="H478" s="243"/>
      <c r="I478" s="260"/>
      <c r="J478" s="288">
        <f t="shared" si="42"/>
        <v>0</v>
      </c>
      <c r="K478" s="289">
        <f t="shared" si="43"/>
        <v>0</v>
      </c>
      <c r="L478" s="290">
        <f t="shared" si="44"/>
        <v>0</v>
      </c>
    </row>
    <row r="479" spans="3:12" x14ac:dyDescent="0.25">
      <c r="C479" s="255"/>
      <c r="D479" s="256"/>
      <c r="E479" s="257"/>
      <c r="F479" s="257"/>
      <c r="G479" s="258"/>
      <c r="H479" s="243"/>
      <c r="I479" s="260"/>
      <c r="J479" s="288">
        <f t="shared" si="42"/>
        <v>0</v>
      </c>
      <c r="K479" s="289">
        <f t="shared" si="43"/>
        <v>0</v>
      </c>
      <c r="L479" s="290">
        <f t="shared" si="44"/>
        <v>0</v>
      </c>
    </row>
    <row r="480" spans="3:12" x14ac:dyDescent="0.25">
      <c r="C480" s="255"/>
      <c r="D480" s="256"/>
      <c r="E480" s="257"/>
      <c r="F480" s="257"/>
      <c r="G480" s="258"/>
      <c r="H480" s="243"/>
      <c r="I480" s="260"/>
      <c r="J480" s="288">
        <f t="shared" si="42"/>
        <v>0</v>
      </c>
      <c r="K480" s="289">
        <f t="shared" si="43"/>
        <v>0</v>
      </c>
      <c r="L480" s="290">
        <f t="shared" si="44"/>
        <v>0</v>
      </c>
    </row>
    <row r="481" spans="3:12" x14ac:dyDescent="0.25">
      <c r="C481" s="255"/>
      <c r="D481" s="256"/>
      <c r="E481" s="257"/>
      <c r="F481" s="257"/>
      <c r="G481" s="258"/>
      <c r="H481" s="243"/>
      <c r="I481" s="260"/>
      <c r="J481" s="288">
        <f t="shared" si="42"/>
        <v>0</v>
      </c>
      <c r="K481" s="289">
        <f t="shared" si="43"/>
        <v>0</v>
      </c>
      <c r="L481" s="290">
        <f t="shared" si="44"/>
        <v>0</v>
      </c>
    </row>
    <row r="482" spans="3:12" x14ac:dyDescent="0.25">
      <c r="C482" s="255"/>
      <c r="D482" s="256"/>
      <c r="E482" s="257"/>
      <c r="F482" s="257"/>
      <c r="G482" s="258"/>
      <c r="H482" s="243"/>
      <c r="I482" s="260"/>
      <c r="J482" s="288">
        <f t="shared" si="42"/>
        <v>0</v>
      </c>
      <c r="K482" s="289">
        <f t="shared" si="43"/>
        <v>0</v>
      </c>
      <c r="L482" s="290">
        <f t="shared" si="44"/>
        <v>0</v>
      </c>
    </row>
    <row r="483" spans="3:12" x14ac:dyDescent="0.25">
      <c r="C483" s="255"/>
      <c r="D483" s="256"/>
      <c r="E483" s="257"/>
      <c r="F483" s="257"/>
      <c r="G483" s="258"/>
      <c r="H483" s="243"/>
      <c r="I483" s="260"/>
      <c r="J483" s="288">
        <f t="shared" si="42"/>
        <v>0</v>
      </c>
      <c r="K483" s="289">
        <f t="shared" si="43"/>
        <v>0</v>
      </c>
      <c r="L483" s="290">
        <f t="shared" si="44"/>
        <v>0</v>
      </c>
    </row>
    <row r="484" spans="3:12" x14ac:dyDescent="0.25">
      <c r="C484" s="255"/>
      <c r="D484" s="256"/>
      <c r="E484" s="257"/>
      <c r="F484" s="257"/>
      <c r="G484" s="258"/>
      <c r="H484" s="243"/>
      <c r="I484" s="260"/>
      <c r="J484" s="288">
        <f t="shared" si="42"/>
        <v>0</v>
      </c>
      <c r="K484" s="289">
        <f t="shared" si="43"/>
        <v>0</v>
      </c>
      <c r="L484" s="290">
        <f t="shared" si="44"/>
        <v>0</v>
      </c>
    </row>
    <row r="485" spans="3:12" x14ac:dyDescent="0.25">
      <c r="C485" s="255"/>
      <c r="D485" s="256"/>
      <c r="E485" s="257"/>
      <c r="F485" s="257"/>
      <c r="G485" s="258"/>
      <c r="H485" s="243"/>
      <c r="I485" s="260"/>
      <c r="J485" s="288">
        <f t="shared" si="42"/>
        <v>0</v>
      </c>
      <c r="K485" s="289">
        <f t="shared" si="43"/>
        <v>0</v>
      </c>
      <c r="L485" s="290">
        <f t="shared" si="44"/>
        <v>0</v>
      </c>
    </row>
    <row r="486" spans="3:12" x14ac:dyDescent="0.25">
      <c r="C486" s="255"/>
      <c r="D486" s="256"/>
      <c r="E486" s="257"/>
      <c r="F486" s="257"/>
      <c r="G486" s="258"/>
      <c r="H486" s="243"/>
      <c r="I486" s="260"/>
      <c r="J486" s="288">
        <f t="shared" si="42"/>
        <v>0</v>
      </c>
      <c r="K486" s="289">
        <f t="shared" si="43"/>
        <v>0</v>
      </c>
      <c r="L486" s="290">
        <f t="shared" si="44"/>
        <v>0</v>
      </c>
    </row>
    <row r="487" spans="3:12" x14ac:dyDescent="0.25">
      <c r="C487" s="255"/>
      <c r="D487" s="256"/>
      <c r="E487" s="257"/>
      <c r="F487" s="257"/>
      <c r="G487" s="258"/>
      <c r="H487" s="243"/>
      <c r="I487" s="260"/>
      <c r="J487" s="288">
        <f t="shared" si="42"/>
        <v>0</v>
      </c>
      <c r="K487" s="289">
        <f t="shared" si="43"/>
        <v>0</v>
      </c>
      <c r="L487" s="290">
        <f t="shared" si="44"/>
        <v>0</v>
      </c>
    </row>
    <row r="488" spans="3:12" x14ac:dyDescent="0.25">
      <c r="C488" s="255"/>
      <c r="D488" s="256"/>
      <c r="E488" s="257"/>
      <c r="F488" s="257"/>
      <c r="G488" s="258"/>
      <c r="H488" s="243"/>
      <c r="I488" s="260"/>
      <c r="J488" s="288">
        <f t="shared" si="42"/>
        <v>0</v>
      </c>
      <c r="K488" s="289">
        <f t="shared" si="43"/>
        <v>0</v>
      </c>
      <c r="L488" s="290">
        <f t="shared" si="44"/>
        <v>0</v>
      </c>
    </row>
    <row r="489" spans="3:12" x14ac:dyDescent="0.25">
      <c r="C489" s="255"/>
      <c r="D489" s="256"/>
      <c r="E489" s="257"/>
      <c r="F489" s="257"/>
      <c r="G489" s="258"/>
      <c r="H489" s="243"/>
      <c r="I489" s="260"/>
      <c r="J489" s="288">
        <f t="shared" si="42"/>
        <v>0</v>
      </c>
      <c r="K489" s="289">
        <f t="shared" si="43"/>
        <v>0</v>
      </c>
      <c r="L489" s="290">
        <f t="shared" si="44"/>
        <v>0</v>
      </c>
    </row>
    <row r="490" spans="3:12" x14ac:dyDescent="0.25">
      <c r="C490" s="255"/>
      <c r="D490" s="256"/>
      <c r="E490" s="257"/>
      <c r="F490" s="257"/>
      <c r="G490" s="258"/>
      <c r="H490" s="243"/>
      <c r="I490" s="260"/>
      <c r="J490" s="288">
        <f t="shared" si="42"/>
        <v>0</v>
      </c>
      <c r="K490" s="289">
        <f t="shared" si="43"/>
        <v>0</v>
      </c>
      <c r="L490" s="290">
        <f t="shared" si="44"/>
        <v>0</v>
      </c>
    </row>
    <row r="491" spans="3:12" x14ac:dyDescent="0.25">
      <c r="C491" s="255"/>
      <c r="D491" s="256"/>
      <c r="E491" s="257"/>
      <c r="F491" s="257"/>
      <c r="G491" s="258"/>
      <c r="H491" s="243"/>
      <c r="I491" s="260"/>
      <c r="J491" s="288">
        <f t="shared" si="42"/>
        <v>0</v>
      </c>
      <c r="K491" s="289">
        <f t="shared" si="43"/>
        <v>0</v>
      </c>
      <c r="L491" s="290">
        <f t="shared" si="44"/>
        <v>0</v>
      </c>
    </row>
    <row r="492" spans="3:12" x14ac:dyDescent="0.25">
      <c r="C492" s="255"/>
      <c r="D492" s="256"/>
      <c r="E492" s="257"/>
      <c r="F492" s="257"/>
      <c r="G492" s="258"/>
      <c r="H492" s="243"/>
      <c r="I492" s="260"/>
      <c r="J492" s="288">
        <f t="shared" si="42"/>
        <v>0</v>
      </c>
      <c r="K492" s="289">
        <f t="shared" si="43"/>
        <v>0</v>
      </c>
      <c r="L492" s="290">
        <f t="shared" si="44"/>
        <v>0</v>
      </c>
    </row>
    <row r="493" spans="3:12" x14ac:dyDescent="0.25">
      <c r="C493" s="255"/>
      <c r="D493" s="256"/>
      <c r="E493" s="257"/>
      <c r="F493" s="257"/>
      <c r="G493" s="258"/>
      <c r="H493" s="243"/>
      <c r="I493" s="260"/>
      <c r="J493" s="288">
        <f t="shared" si="42"/>
        <v>0</v>
      </c>
      <c r="K493" s="289">
        <f t="shared" si="43"/>
        <v>0</v>
      </c>
      <c r="L493" s="290">
        <f t="shared" si="44"/>
        <v>0</v>
      </c>
    </row>
    <row r="494" spans="3:12" x14ac:dyDescent="0.25">
      <c r="C494" s="255"/>
      <c r="D494" s="256"/>
      <c r="E494" s="257"/>
      <c r="F494" s="257"/>
      <c r="G494" s="258"/>
      <c r="H494" s="243"/>
      <c r="I494" s="260"/>
      <c r="J494" s="288">
        <f t="shared" si="42"/>
        <v>0</v>
      </c>
      <c r="K494" s="289">
        <f t="shared" si="43"/>
        <v>0</v>
      </c>
      <c r="L494" s="290">
        <f t="shared" si="44"/>
        <v>0</v>
      </c>
    </row>
    <row r="495" spans="3:12" x14ac:dyDescent="0.25">
      <c r="C495" s="255"/>
      <c r="D495" s="256"/>
      <c r="E495" s="257"/>
      <c r="F495" s="257"/>
      <c r="G495" s="258"/>
      <c r="H495" s="243"/>
      <c r="I495" s="260"/>
      <c r="J495" s="288">
        <f t="shared" si="42"/>
        <v>0</v>
      </c>
      <c r="K495" s="289">
        <f t="shared" si="43"/>
        <v>0</v>
      </c>
      <c r="L495" s="290">
        <f t="shared" si="44"/>
        <v>0</v>
      </c>
    </row>
    <row r="496" spans="3:12" x14ac:dyDescent="0.25">
      <c r="C496" s="255"/>
      <c r="D496" s="256"/>
      <c r="E496" s="257"/>
      <c r="F496" s="257"/>
      <c r="G496" s="258"/>
      <c r="H496" s="243"/>
      <c r="I496" s="260"/>
      <c r="J496" s="288">
        <f t="shared" si="42"/>
        <v>0</v>
      </c>
      <c r="K496" s="289">
        <f t="shared" si="43"/>
        <v>0</v>
      </c>
      <c r="L496" s="290">
        <f t="shared" si="44"/>
        <v>0</v>
      </c>
    </row>
    <row r="497" spans="3:12" x14ac:dyDescent="0.25">
      <c r="C497" s="255"/>
      <c r="D497" s="256"/>
      <c r="E497" s="257"/>
      <c r="F497" s="257"/>
      <c r="G497" s="258"/>
      <c r="H497" s="243"/>
      <c r="I497" s="260"/>
      <c r="J497" s="288">
        <f t="shared" si="42"/>
        <v>0</v>
      </c>
      <c r="K497" s="289">
        <f t="shared" si="43"/>
        <v>0</v>
      </c>
      <c r="L497" s="290">
        <f t="shared" si="44"/>
        <v>0</v>
      </c>
    </row>
    <row r="498" spans="3:12" x14ac:dyDescent="0.25">
      <c r="C498" s="255"/>
      <c r="D498" s="256"/>
      <c r="E498" s="257"/>
      <c r="F498" s="257"/>
      <c r="G498" s="258"/>
      <c r="H498" s="243"/>
      <c r="I498" s="260"/>
      <c r="J498" s="288">
        <f t="shared" si="42"/>
        <v>0</v>
      </c>
      <c r="K498" s="289">
        <f t="shared" si="43"/>
        <v>0</v>
      </c>
      <c r="L498" s="290">
        <f t="shared" si="44"/>
        <v>0</v>
      </c>
    </row>
    <row r="499" spans="3:12" x14ac:dyDescent="0.25">
      <c r="C499" s="255"/>
      <c r="D499" s="256"/>
      <c r="E499" s="257"/>
      <c r="F499" s="257"/>
      <c r="G499" s="258"/>
      <c r="H499" s="243"/>
      <c r="I499" s="260"/>
      <c r="J499" s="288">
        <f t="shared" si="42"/>
        <v>0</v>
      </c>
      <c r="K499" s="289">
        <f t="shared" si="43"/>
        <v>0</v>
      </c>
      <c r="L499" s="290">
        <f t="shared" si="44"/>
        <v>0</v>
      </c>
    </row>
    <row r="500" spans="3:12" ht="15.75" thickBot="1" x14ac:dyDescent="0.3">
      <c r="C500" s="255"/>
      <c r="D500" s="256"/>
      <c r="E500" s="257"/>
      <c r="F500" s="257"/>
      <c r="G500" s="258"/>
      <c r="H500" s="243"/>
      <c r="I500" s="260"/>
      <c r="J500" s="288">
        <f t="shared" ref="J500" si="45">IFERROR(IF(E500="Commercial",VLOOKUP(D500,$N$40:$P$46,3,FALSE),VLOOKUP(E500,$N$18:$P$24,3,FALSE)),0)</f>
        <v>0</v>
      </c>
      <c r="K500" s="289">
        <f t="shared" ref="K500" si="46">J500-H500</f>
        <v>0</v>
      </c>
      <c r="L500" s="290">
        <f t="shared" si="44"/>
        <v>0</v>
      </c>
    </row>
    <row r="501" spans="3:12" ht="15.75" thickBot="1" x14ac:dyDescent="0.3">
      <c r="C501" s="268" t="s">
        <v>111</v>
      </c>
      <c r="D501" s="269"/>
      <c r="E501" s="82"/>
      <c r="F501" s="82"/>
      <c r="G501" s="314">
        <f>SUM(G8:G500)</f>
        <v>0</v>
      </c>
      <c r="H501" s="296">
        <f>SUM(H8:H500)*12</f>
        <v>0</v>
      </c>
      <c r="I501" s="82"/>
      <c r="J501" s="315"/>
      <c r="K501" s="316">
        <f>SUM(J8:J500)*12</f>
        <v>0</v>
      </c>
      <c r="L501" s="298"/>
    </row>
    <row r="502" spans="3:12" ht="15.75" thickBot="1" x14ac:dyDescent="0.3">
      <c r="C502" s="317" t="s">
        <v>112</v>
      </c>
      <c r="D502" s="318"/>
      <c r="E502" s="82"/>
      <c r="F502" s="82"/>
      <c r="G502" s="82"/>
      <c r="H502" s="319"/>
      <c r="I502" s="82"/>
      <c r="J502" s="82"/>
      <c r="K502" s="320">
        <f>K501-H501</f>
        <v>0</v>
      </c>
      <c r="L502" s="321"/>
    </row>
  </sheetData>
  <mergeCells count="16">
    <mergeCell ref="P24:Q24"/>
    <mergeCell ref="O51:P51"/>
    <mergeCell ref="N50:Q50"/>
    <mergeCell ref="N38:S38"/>
    <mergeCell ref="C6:L6"/>
    <mergeCell ref="N6:U6"/>
    <mergeCell ref="N28:T28"/>
    <mergeCell ref="N16:U16"/>
    <mergeCell ref="P17:Q17"/>
    <mergeCell ref="P25:Q25"/>
    <mergeCell ref="P18:Q18"/>
    <mergeCell ref="P19:Q19"/>
    <mergeCell ref="P20:Q20"/>
    <mergeCell ref="P21:Q21"/>
    <mergeCell ref="P22:Q22"/>
    <mergeCell ref="P23:Q23"/>
  </mergeCells>
  <conditionalFormatting sqref="G5 G7:G38">
    <cfRule type="containsText" dxfId="2" priority="4" operator="containsText" text="N">
      <formula>NOT(ISERROR(SEARCH("N",G5)))</formula>
    </cfRule>
  </conditionalFormatting>
  <dataValidations count="2">
    <dataValidation type="list" showInputMessage="1" showErrorMessage="1" sqref="F54:F500 F8:F52" xr:uid="{B88E271E-F63F-4EF1-9009-04782212A370}">
      <formula1>"Occupied, Vacant"</formula1>
    </dataValidation>
    <dataValidation type="list" allowBlank="1" showInputMessage="1" showErrorMessage="1" sqref="F53" xr:uid="{4C982BCC-9CFC-41CA-980E-A948D1D8BE8E}">
      <formula1>"Rented, Vacant"</formula1>
    </dataValidation>
  </dataValidations>
  <pageMargins left="0.7" right="0.7" top="0.75" bottom="0.75" header="0.3" footer="0.3"/>
  <pageSetup scale="6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RefreshUnitTypes">
                <anchor moveWithCells="1" sizeWithCells="1">
                  <from>
                    <xdr:col>1</xdr:col>
                    <xdr:colOff>1085850</xdr:colOff>
                    <xdr:row>1</xdr:row>
                    <xdr:rowOff>104775</xdr:rowOff>
                  </from>
                  <to>
                    <xdr:col>5</xdr:col>
                    <xdr:colOff>9525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DA09E-4C8C-4389-A421-9E1899A3744A}">
  <sheetPr codeName="Sheet3">
    <pageSetUpPr fitToPage="1"/>
  </sheetPr>
  <dimension ref="C2:U99"/>
  <sheetViews>
    <sheetView showGridLines="0" zoomScale="74" zoomScaleNormal="122" zoomScaleSheetLayoutView="85" workbookViewId="0">
      <selection activeCell="G78" sqref="G78"/>
    </sheetView>
  </sheetViews>
  <sheetFormatPr defaultColWidth="9.140625" defaultRowHeight="15.75" x14ac:dyDescent="0.25"/>
  <cols>
    <col min="1" max="1" width="2.85546875" style="1" customWidth="1"/>
    <col min="2" max="2" width="9.140625" style="1"/>
    <col min="3" max="3" width="47.28515625" style="1" bestFit="1" customWidth="1"/>
    <col min="4" max="4" width="19.85546875" style="1" customWidth="1"/>
    <col min="5" max="5" width="18.85546875" style="1" customWidth="1"/>
    <col min="6" max="6" width="25.28515625" style="1" customWidth="1"/>
    <col min="7" max="7" width="14" style="1" bestFit="1" customWidth="1"/>
    <col min="8" max="8" width="13" style="1" customWidth="1"/>
    <col min="9" max="9" width="25.7109375" style="1" customWidth="1"/>
    <col min="10" max="11" width="13.28515625" style="1" bestFit="1" customWidth="1"/>
    <col min="12" max="12" width="15" style="1" bestFit="1" customWidth="1"/>
    <col min="13" max="13" width="24.42578125" style="1" customWidth="1"/>
    <col min="14" max="14" width="15.42578125" style="1" bestFit="1" customWidth="1"/>
    <col min="15" max="15" width="21.140625" style="1" bestFit="1" customWidth="1"/>
    <col min="16" max="16" width="17.42578125" style="1" bestFit="1" customWidth="1"/>
    <col min="17" max="17" width="21.140625" style="1" bestFit="1" customWidth="1"/>
    <col min="18" max="18" width="14.5703125" style="1" bestFit="1" customWidth="1"/>
    <col min="19" max="19" width="20.28515625" style="1" bestFit="1" customWidth="1"/>
    <col min="20" max="20" width="17.42578125" style="1" bestFit="1" customWidth="1"/>
    <col min="21" max="21" width="20" style="1" bestFit="1" customWidth="1"/>
    <col min="22" max="22" width="15" style="1" bestFit="1" customWidth="1"/>
    <col min="23" max="23" width="14.5703125" style="1" bestFit="1" customWidth="1"/>
    <col min="24" max="24" width="18.7109375" style="1" bestFit="1" customWidth="1"/>
    <col min="25" max="25" width="20.7109375" style="1" bestFit="1" customWidth="1"/>
    <col min="26" max="26" width="17.85546875" style="1" bestFit="1" customWidth="1"/>
    <col min="27" max="27" width="15.42578125" style="1" bestFit="1" customWidth="1"/>
    <col min="28" max="16384" width="9.140625" style="1"/>
  </cols>
  <sheetData>
    <row r="2" spans="3:19" ht="16.5" thickBot="1" x14ac:dyDescent="0.3"/>
    <row r="3" spans="3:19" x14ac:dyDescent="0.25">
      <c r="C3" s="336" t="s">
        <v>126</v>
      </c>
      <c r="D3" s="338"/>
      <c r="E3" s="235"/>
      <c r="S3" s="211"/>
    </row>
    <row r="4" spans="3:19" x14ac:dyDescent="0.25">
      <c r="C4" s="349" t="s">
        <v>5</v>
      </c>
      <c r="D4" s="350"/>
      <c r="E4" s="234"/>
    </row>
    <row r="5" spans="3:19" ht="16.5" thickBot="1" x14ac:dyDescent="0.3">
      <c r="C5" s="370"/>
      <c r="D5" s="409"/>
      <c r="E5" s="236"/>
      <c r="N5" s="148" t="s">
        <v>6</v>
      </c>
      <c r="O5" s="330">
        <v>0</v>
      </c>
    </row>
    <row r="6" spans="3:19" ht="16.5" thickBot="1" x14ac:dyDescent="0.3">
      <c r="C6" s="86" t="s">
        <v>127</v>
      </c>
      <c r="D6" s="409"/>
      <c r="E6" s="236"/>
      <c r="F6" s="336" t="s">
        <v>1</v>
      </c>
      <c r="G6" s="337"/>
      <c r="H6" s="338"/>
      <c r="L6" s="445" t="s">
        <v>3</v>
      </c>
      <c r="M6" s="446"/>
      <c r="N6" s="447"/>
      <c r="O6" s="339" t="s">
        <v>4</v>
      </c>
      <c r="P6" s="341"/>
    </row>
    <row r="7" spans="3:19" ht="16.5" thickBot="1" x14ac:dyDescent="0.3">
      <c r="C7" s="370"/>
      <c r="D7" s="409"/>
      <c r="E7" s="236"/>
      <c r="F7" s="7" t="s">
        <v>5</v>
      </c>
      <c r="G7" s="5" t="s">
        <v>7</v>
      </c>
      <c r="H7" s="6" t="s">
        <v>8</v>
      </c>
      <c r="I7" s="336" t="s">
        <v>2</v>
      </c>
      <c r="J7" s="338"/>
      <c r="L7" s="10" t="s">
        <v>130</v>
      </c>
      <c r="M7" s="498"/>
      <c r="N7" s="499">
        <v>20000</v>
      </c>
      <c r="O7" s="11" t="s">
        <v>11</v>
      </c>
      <c r="P7" s="510">
        <v>1</v>
      </c>
      <c r="Q7" s="339" t="s">
        <v>79</v>
      </c>
      <c r="R7" s="341"/>
    </row>
    <row r="8" spans="3:19" x14ac:dyDescent="0.25">
      <c r="C8" s="370"/>
      <c r="D8" s="409"/>
      <c r="E8" s="236"/>
      <c r="F8" s="85" t="s">
        <v>12</v>
      </c>
      <c r="G8" s="375">
        <f>G69</f>
        <v>0</v>
      </c>
      <c r="H8" s="376">
        <f>AVERAGE(G69:P69)</f>
        <v>0</v>
      </c>
      <c r="I8" s="8" t="s">
        <v>9</v>
      </c>
      <c r="J8" s="9" t="s">
        <v>10</v>
      </c>
      <c r="L8" s="10" t="s">
        <v>131</v>
      </c>
      <c r="M8" s="500">
        <v>0.01</v>
      </c>
      <c r="N8" s="499">
        <f>M8*$P$16</f>
        <v>0</v>
      </c>
      <c r="O8" s="14" t="s">
        <v>136</v>
      </c>
      <c r="P8" s="497" t="s">
        <v>142</v>
      </c>
      <c r="Q8" s="11" t="s">
        <v>11</v>
      </c>
      <c r="R8" s="149">
        <f>P19+P20</f>
        <v>5</v>
      </c>
    </row>
    <row r="9" spans="3:19" x14ac:dyDescent="0.25">
      <c r="C9" s="86" t="s">
        <v>128</v>
      </c>
      <c r="D9" s="409"/>
      <c r="E9" s="236"/>
      <c r="F9" s="85"/>
      <c r="G9" s="375"/>
      <c r="H9" s="376"/>
      <c r="I9" s="12" t="s">
        <v>6</v>
      </c>
      <c r="J9" s="13">
        <f>'Deal Summary'!O17</f>
        <v>0</v>
      </c>
      <c r="L9" s="10" t="s">
        <v>132</v>
      </c>
      <c r="M9" s="500">
        <v>0</v>
      </c>
      <c r="N9" s="499">
        <f>M9*$P$16</f>
        <v>0</v>
      </c>
      <c r="O9" s="14" t="s">
        <v>13</v>
      </c>
      <c r="P9" s="511">
        <v>0.65</v>
      </c>
      <c r="Q9" s="14" t="s">
        <v>13</v>
      </c>
      <c r="R9" s="511">
        <v>0.65</v>
      </c>
    </row>
    <row r="10" spans="3:19" x14ac:dyDescent="0.25">
      <c r="C10" s="370"/>
      <c r="D10" s="409"/>
      <c r="F10" s="85" t="s">
        <v>15</v>
      </c>
      <c r="G10" s="375">
        <f>G94</f>
        <v>0</v>
      </c>
      <c r="H10" s="376">
        <f>AVERAGE(G94:P94)</f>
        <v>0</v>
      </c>
      <c r="I10" s="12" t="s">
        <v>3</v>
      </c>
      <c r="J10" s="13">
        <f>N14-J14</f>
        <v>40000</v>
      </c>
      <c r="L10" s="10" t="s">
        <v>133</v>
      </c>
      <c r="M10" s="500">
        <v>5.0000000000000001E-3</v>
      </c>
      <c r="N10" s="499">
        <f>M10*$P$16</f>
        <v>0</v>
      </c>
      <c r="O10" s="14" t="s">
        <v>137</v>
      </c>
      <c r="P10" s="511">
        <v>0.75</v>
      </c>
      <c r="Q10" s="14" t="s">
        <v>76</v>
      </c>
      <c r="R10" s="513">
        <v>3.7499999999999999E-2</v>
      </c>
    </row>
    <row r="11" spans="3:19" x14ac:dyDescent="0.25">
      <c r="C11" s="370"/>
      <c r="D11" s="409"/>
      <c r="E11" s="237"/>
      <c r="F11" s="85"/>
      <c r="G11" s="375"/>
      <c r="H11" s="376"/>
      <c r="I11" s="12" t="s">
        <v>16</v>
      </c>
      <c r="J11" s="13">
        <f>N19</f>
        <v>0</v>
      </c>
      <c r="L11" s="10" t="s">
        <v>134</v>
      </c>
      <c r="M11" s="500"/>
      <c r="N11" s="499">
        <v>20000</v>
      </c>
      <c r="O11" s="14" t="s">
        <v>76</v>
      </c>
      <c r="P11" s="512">
        <v>4.2599999999999999E-2</v>
      </c>
      <c r="Q11" s="14" t="s">
        <v>17</v>
      </c>
      <c r="R11" s="513">
        <v>1.7500000000000002E-2</v>
      </c>
    </row>
    <row r="12" spans="3:19" ht="16.5" thickBot="1" x14ac:dyDescent="0.3">
      <c r="C12" s="86" t="s">
        <v>39</v>
      </c>
      <c r="D12" s="409"/>
      <c r="E12" s="238"/>
      <c r="F12" s="88" t="s">
        <v>19</v>
      </c>
      <c r="G12" s="384">
        <f>G92</f>
        <v>0</v>
      </c>
      <c r="H12" s="399">
        <f>AVERAGE(G92:P92)</f>
        <v>0</v>
      </c>
      <c r="I12" s="10" t="s">
        <v>197</v>
      </c>
      <c r="J12" s="15"/>
      <c r="L12" s="10" t="s">
        <v>135</v>
      </c>
      <c r="M12" s="500">
        <v>5.0000000000000001E-3</v>
      </c>
      <c r="N12" s="499">
        <f>M12*$P$16</f>
        <v>0</v>
      </c>
      <c r="O12" s="14" t="s">
        <v>17</v>
      </c>
      <c r="P12" s="513">
        <v>1.4999999999999999E-2</v>
      </c>
      <c r="Q12" s="14" t="s">
        <v>18</v>
      </c>
      <c r="R12" s="16">
        <f>SUM(R10:R11)</f>
        <v>5.5E-2</v>
      </c>
    </row>
    <row r="13" spans="3:19" ht="16.5" thickBot="1" x14ac:dyDescent="0.3">
      <c r="C13" s="371"/>
      <c r="D13" s="410"/>
      <c r="E13" s="236"/>
      <c r="F13" s="22"/>
      <c r="G13" s="2"/>
      <c r="H13" s="3"/>
      <c r="I13" s="17" t="s">
        <v>20</v>
      </c>
      <c r="J13" s="18">
        <f>SUM(J9:J12)</f>
        <v>40000</v>
      </c>
      <c r="L13" s="10" t="s">
        <v>23</v>
      </c>
      <c r="M13" s="500">
        <v>0.02</v>
      </c>
      <c r="N13" s="501">
        <f>M13*J9</f>
        <v>0</v>
      </c>
      <c r="O13" s="14" t="s">
        <v>18</v>
      </c>
      <c r="P13" s="16">
        <f>SUM(P11:P12)</f>
        <v>5.7599999999999998E-2</v>
      </c>
      <c r="Q13" s="14" t="s">
        <v>21</v>
      </c>
      <c r="R13" s="19">
        <v>1.25</v>
      </c>
    </row>
    <row r="14" spans="3:19" ht="16.5" thickBot="1" x14ac:dyDescent="0.3">
      <c r="C14" s="20"/>
      <c r="D14" s="21"/>
      <c r="E14" s="21"/>
      <c r="F14" s="377" t="s">
        <v>25</v>
      </c>
      <c r="G14" s="378"/>
      <c r="H14" s="379">
        <f>SUM(G88:Q88)</f>
        <v>-40000</v>
      </c>
      <c r="I14" s="12" t="s">
        <v>22</v>
      </c>
      <c r="J14" s="13">
        <f>N8+N10+N12</f>
        <v>0</v>
      </c>
      <c r="L14" s="24" t="s">
        <v>27</v>
      </c>
      <c r="M14" s="25"/>
      <c r="N14" s="26">
        <f>SUM(N7:N13)</f>
        <v>40000</v>
      </c>
      <c r="O14" s="14" t="s">
        <v>152</v>
      </c>
      <c r="P14" s="513">
        <v>6.25E-2</v>
      </c>
      <c r="Q14" s="14" t="s">
        <v>80</v>
      </c>
      <c r="R14" s="513">
        <v>6.25E-2</v>
      </c>
    </row>
    <row r="15" spans="3:19" x14ac:dyDescent="0.25">
      <c r="C15" s="336" t="s">
        <v>0</v>
      </c>
      <c r="D15" s="338"/>
      <c r="E15" s="239"/>
      <c r="F15" s="380" t="s">
        <v>29</v>
      </c>
      <c r="G15" s="381"/>
      <c r="H15" s="382">
        <f>SUM(H88:Q88)/-G88</f>
        <v>0</v>
      </c>
      <c r="I15" s="17" t="s">
        <v>26</v>
      </c>
      <c r="J15" s="18">
        <f>J13+J14</f>
        <v>40000</v>
      </c>
      <c r="L15" s="445" t="s">
        <v>16</v>
      </c>
      <c r="M15" s="446"/>
      <c r="N15" s="447"/>
      <c r="O15" s="14" t="s">
        <v>21</v>
      </c>
      <c r="P15" s="19">
        <v>1.25</v>
      </c>
      <c r="Q15" s="14" t="s">
        <v>24</v>
      </c>
      <c r="R15" s="23">
        <f>(K68/R14)*R9</f>
        <v>0</v>
      </c>
    </row>
    <row r="16" spans="3:19" x14ac:dyDescent="0.25">
      <c r="C16" s="4" t="s">
        <v>5</v>
      </c>
      <c r="D16" s="6" t="s">
        <v>6</v>
      </c>
      <c r="E16" s="240"/>
      <c r="F16" s="85" t="s">
        <v>31</v>
      </c>
      <c r="G16" s="375"/>
      <c r="H16" s="376">
        <f ca="1">IFERROR(D88,0)</f>
        <v>0</v>
      </c>
      <c r="I16" s="27"/>
      <c r="J16" s="28"/>
      <c r="L16" s="10" t="s">
        <v>145</v>
      </c>
      <c r="M16" s="502"/>
      <c r="N16" s="503">
        <f>G34*N20</f>
        <v>0</v>
      </c>
      <c r="O16" s="14" t="s">
        <v>24</v>
      </c>
      <c r="P16" s="23">
        <f>IF(P8="Bridge",MIN((J9+N19)*P10,(I68/P14)*P9),P9*J9)</f>
        <v>0</v>
      </c>
      <c r="Q16" s="14" t="s">
        <v>156</v>
      </c>
      <c r="R16" s="448" t="s">
        <v>28</v>
      </c>
    </row>
    <row r="17" spans="3:18" x14ac:dyDescent="0.25">
      <c r="C17" s="85" t="s">
        <v>77</v>
      </c>
      <c r="D17" s="372">
        <f>IFERROR(J9/'Deal Summary'!O12,0)</f>
        <v>0</v>
      </c>
      <c r="E17" s="241"/>
      <c r="F17" s="85"/>
      <c r="G17" s="375"/>
      <c r="H17" s="376"/>
      <c r="I17" s="8" t="s">
        <v>32</v>
      </c>
      <c r="J17" s="9" t="s">
        <v>10</v>
      </c>
      <c r="L17" s="10" t="s">
        <v>95</v>
      </c>
      <c r="M17" s="502"/>
      <c r="N17" s="499">
        <v>0</v>
      </c>
      <c r="O17" s="14" t="s">
        <v>156</v>
      </c>
      <c r="P17" s="448" t="s">
        <v>28</v>
      </c>
      <c r="Q17" s="14" t="s">
        <v>30</v>
      </c>
      <c r="R17" s="23">
        <f>IF(ISNUMBER($R$16), PMT($R$12/12, $R$16*12, $R$15, 0)*12, -$R$15*$R$12)</f>
        <v>0</v>
      </c>
    </row>
    <row r="18" spans="3:18" x14ac:dyDescent="0.25">
      <c r="C18" s="85"/>
      <c r="D18" s="373"/>
      <c r="E18" s="242"/>
      <c r="F18" s="400" t="s">
        <v>35</v>
      </c>
      <c r="G18" s="401"/>
      <c r="H18" s="402">
        <f>SUM(G90:Q90)</f>
        <v>-40000</v>
      </c>
      <c r="I18" s="30">
        <f>J18/J15</f>
        <v>0</v>
      </c>
      <c r="J18" s="13">
        <f>P16</f>
        <v>0</v>
      </c>
      <c r="L18" s="369" t="s">
        <v>195</v>
      </c>
      <c r="M18" s="504">
        <v>50</v>
      </c>
      <c r="N18" s="505">
        <f>IF((IF(G41&lt;(1-RR!U29),-(Proforma!G41-(1-RR!U29))*(RR!O37*RR!Q47*12/4),0)-((Proforma!G41-(1-RR!U29))*RR!O37))&lt;=0, 0, IF(G41&lt;(1-RR!U29),-(Proforma!G41-(1-RR!U29))*(RR!O37*RR!Q47*12/4),0)-((Proforma!G41-(1-RR!U29))*RR!O37))</f>
        <v>0</v>
      </c>
      <c r="O18" s="14" t="s">
        <v>30</v>
      </c>
      <c r="P18" s="23">
        <f>IF(ISNUMBER($P$17), PMT($P$13/12, $P$17*12, $P$16, 0)*12, $P$13*-$P$16)</f>
        <v>0</v>
      </c>
      <c r="Q18" s="14" t="s">
        <v>33</v>
      </c>
      <c r="R18" s="29">
        <v>10</v>
      </c>
    </row>
    <row r="19" spans="3:18" ht="16.5" thickBot="1" x14ac:dyDescent="0.3">
      <c r="C19" s="85" t="s">
        <v>14</v>
      </c>
      <c r="D19" s="372">
        <f>IFERROR(J9/('Deal Summary'!O8+'Deal Summary'!O9),0)</f>
        <v>0</v>
      </c>
      <c r="E19" s="242"/>
      <c r="F19" s="403" t="s">
        <v>37</v>
      </c>
      <c r="G19" s="404"/>
      <c r="H19" s="405">
        <f>-SUM(H90:Q90)/G90</f>
        <v>0</v>
      </c>
      <c r="I19" s="33">
        <f>J19/J15</f>
        <v>1</v>
      </c>
      <c r="J19" s="34">
        <f>J15-J18</f>
        <v>40000</v>
      </c>
      <c r="L19" s="31" t="s">
        <v>40</v>
      </c>
      <c r="M19" s="506"/>
      <c r="N19" s="507">
        <f>SUM(N16:N18)</f>
        <v>0</v>
      </c>
      <c r="O19" s="14" t="s">
        <v>33</v>
      </c>
      <c r="P19" s="514">
        <v>5</v>
      </c>
      <c r="Q19" s="31" t="s">
        <v>34</v>
      </c>
      <c r="R19" s="32">
        <v>1</v>
      </c>
    </row>
    <row r="20" spans="3:18" ht="16.5" thickBot="1" x14ac:dyDescent="0.3">
      <c r="C20" s="88"/>
      <c r="D20" s="374"/>
      <c r="E20" s="242"/>
      <c r="F20" s="406" t="s">
        <v>39</v>
      </c>
      <c r="G20" s="407"/>
      <c r="H20" s="408">
        <f ca="1">IFERROR(D90,0)</f>
        <v>0</v>
      </c>
      <c r="I20" s="31" t="s">
        <v>38</v>
      </c>
      <c r="J20" s="36">
        <f>SUM(J18:J19)</f>
        <v>40000</v>
      </c>
      <c r="L20" s="24" t="s">
        <v>144</v>
      </c>
      <c r="M20" s="508"/>
      <c r="N20" s="509">
        <v>35000</v>
      </c>
      <c r="O20" s="31" t="s">
        <v>34</v>
      </c>
      <c r="P20" s="515">
        <v>0</v>
      </c>
      <c r="Q20" s="24" t="s">
        <v>36</v>
      </c>
      <c r="R20" s="35">
        <v>6</v>
      </c>
    </row>
    <row r="21" spans="3:18" ht="16.5" thickBot="1" x14ac:dyDescent="0.3"/>
    <row r="22" spans="3:18" ht="16.5" thickBot="1" x14ac:dyDescent="0.3">
      <c r="C22" s="357"/>
      <c r="D22" s="358"/>
      <c r="E22" s="545" t="s">
        <v>215</v>
      </c>
      <c r="F22" s="542" t="s">
        <v>41</v>
      </c>
      <c r="G22" s="359"/>
      <c r="H22" s="360"/>
      <c r="I22" s="360"/>
      <c r="J22" s="360"/>
      <c r="K22" s="360"/>
      <c r="L22" s="360"/>
      <c r="M22" s="360"/>
      <c r="N22" s="360"/>
      <c r="O22" s="360"/>
      <c r="P22" s="360"/>
      <c r="Q22" s="360"/>
      <c r="R22" s="361"/>
    </row>
    <row r="23" spans="3:18" ht="15.75" customHeight="1" x14ac:dyDescent="0.25">
      <c r="C23" s="357"/>
      <c r="D23" s="358"/>
      <c r="E23" s="546"/>
      <c r="F23" s="543"/>
      <c r="G23" s="362">
        <f>EDATE($D$24,G24*12)</f>
        <v>46143</v>
      </c>
      <c r="H23" s="363">
        <f>EDATE(G23,12)</f>
        <v>46508</v>
      </c>
      <c r="I23" s="363">
        <f t="shared" ref="I23:R23" si="0">EDATE(H23,12)</f>
        <v>46874</v>
      </c>
      <c r="J23" s="363">
        <f t="shared" si="0"/>
        <v>47239</v>
      </c>
      <c r="K23" s="363">
        <f t="shared" si="0"/>
        <v>47604</v>
      </c>
      <c r="L23" s="363">
        <f>EDATE(K23,12)</f>
        <v>47969</v>
      </c>
      <c r="M23" s="363">
        <f t="shared" si="0"/>
        <v>48335</v>
      </c>
      <c r="N23" s="363">
        <f t="shared" si="0"/>
        <v>48700</v>
      </c>
      <c r="O23" s="363">
        <f>EDATE(N23,12)</f>
        <v>49065</v>
      </c>
      <c r="P23" s="363">
        <f t="shared" si="0"/>
        <v>49430</v>
      </c>
      <c r="Q23" s="363">
        <f t="shared" si="0"/>
        <v>49796</v>
      </c>
      <c r="R23" s="364">
        <f t="shared" si="0"/>
        <v>50161</v>
      </c>
    </row>
    <row r="24" spans="3:18" ht="16.5" customHeight="1" thickBot="1" x14ac:dyDescent="0.3">
      <c r="C24" s="365"/>
      <c r="D24" s="476">
        <v>45778</v>
      </c>
      <c r="E24" s="547"/>
      <c r="F24" s="544"/>
      <c r="G24" s="366">
        <v>1</v>
      </c>
      <c r="H24" s="367">
        <f t="shared" ref="H24:R24" si="1">G24+1</f>
        <v>2</v>
      </c>
      <c r="I24" s="367">
        <f t="shared" si="1"/>
        <v>3</v>
      </c>
      <c r="J24" s="367">
        <f t="shared" si="1"/>
        <v>4</v>
      </c>
      <c r="K24" s="367">
        <f t="shared" si="1"/>
        <v>5</v>
      </c>
      <c r="L24" s="367">
        <f>K24+1</f>
        <v>6</v>
      </c>
      <c r="M24" s="367">
        <f t="shared" si="1"/>
        <v>7</v>
      </c>
      <c r="N24" s="367">
        <f t="shared" si="1"/>
        <v>8</v>
      </c>
      <c r="O24" s="367">
        <f>N24+1</f>
        <v>9</v>
      </c>
      <c r="P24" s="367">
        <f t="shared" si="1"/>
        <v>10</v>
      </c>
      <c r="Q24" s="367">
        <f t="shared" si="1"/>
        <v>11</v>
      </c>
      <c r="R24" s="368">
        <f t="shared" si="1"/>
        <v>12</v>
      </c>
    </row>
    <row r="25" spans="3:18" ht="16.5" customHeight="1" x14ac:dyDescent="0.25">
      <c r="C25" s="159" t="s">
        <v>123</v>
      </c>
      <c r="E25" s="477"/>
      <c r="F25" s="527"/>
      <c r="G25" s="516">
        <v>0.03</v>
      </c>
      <c r="H25" s="517">
        <v>0.03</v>
      </c>
      <c r="I25" s="517">
        <v>0.03</v>
      </c>
      <c r="J25" s="517">
        <v>0.03</v>
      </c>
      <c r="K25" s="517">
        <v>0.03</v>
      </c>
      <c r="L25" s="517">
        <v>0.03</v>
      </c>
      <c r="M25" s="517">
        <v>0.03</v>
      </c>
      <c r="N25" s="517">
        <v>0.03</v>
      </c>
      <c r="O25" s="517">
        <v>0.03</v>
      </c>
      <c r="P25" s="517">
        <v>0.03</v>
      </c>
      <c r="Q25" s="517">
        <v>0.03</v>
      </c>
      <c r="R25" s="518">
        <v>0.03</v>
      </c>
    </row>
    <row r="26" spans="3:18" x14ac:dyDescent="0.25">
      <c r="C26" s="159" t="s">
        <v>122</v>
      </c>
      <c r="E26" s="477"/>
      <c r="F26" s="527"/>
      <c r="G26" s="519">
        <v>3.5000000000000003E-2</v>
      </c>
      <c r="H26" s="520">
        <v>0.04</v>
      </c>
      <c r="I26" s="520">
        <v>0.04</v>
      </c>
      <c r="J26" s="520">
        <v>3.5000000000000003E-2</v>
      </c>
      <c r="K26" s="520">
        <v>3.5000000000000003E-2</v>
      </c>
      <c r="L26" s="520">
        <v>0.03</v>
      </c>
      <c r="M26" s="520">
        <v>0.03</v>
      </c>
      <c r="N26" s="520">
        <v>0.03</v>
      </c>
      <c r="O26" s="520">
        <v>0.03</v>
      </c>
      <c r="P26" s="520">
        <v>0.03</v>
      </c>
      <c r="Q26" s="520">
        <v>0.03</v>
      </c>
      <c r="R26" s="513">
        <v>0.03</v>
      </c>
    </row>
    <row r="27" spans="3:18" x14ac:dyDescent="0.25">
      <c r="C27" s="159" t="s">
        <v>174</v>
      </c>
      <c r="E27" s="477"/>
      <c r="F27" s="527"/>
      <c r="G27" s="521">
        <v>0</v>
      </c>
      <c r="H27" s="522">
        <v>0</v>
      </c>
      <c r="I27" s="522">
        <v>0</v>
      </c>
      <c r="J27" s="522">
        <v>0.05</v>
      </c>
      <c r="K27" s="522">
        <v>0</v>
      </c>
      <c r="L27" s="522">
        <v>0</v>
      </c>
      <c r="M27" s="522">
        <v>0</v>
      </c>
      <c r="N27" s="522">
        <v>0.05</v>
      </c>
      <c r="O27" s="522">
        <v>0</v>
      </c>
      <c r="P27" s="522">
        <v>0</v>
      </c>
      <c r="Q27" s="522">
        <v>0</v>
      </c>
      <c r="R27" s="523">
        <v>0</v>
      </c>
    </row>
    <row r="28" spans="3:18" ht="16.5" thickBot="1" x14ac:dyDescent="0.3">
      <c r="C28" s="159" t="s">
        <v>118</v>
      </c>
      <c r="E28" s="477"/>
      <c r="F28" s="527"/>
      <c r="G28" s="557">
        <v>0.05</v>
      </c>
      <c r="H28" s="558">
        <v>0.05</v>
      </c>
      <c r="I28" s="558">
        <v>0.05</v>
      </c>
      <c r="J28" s="558">
        <v>0.05</v>
      </c>
      <c r="K28" s="558">
        <v>0.05</v>
      </c>
      <c r="L28" s="558">
        <v>0.05</v>
      </c>
      <c r="M28" s="558">
        <v>0.05</v>
      </c>
      <c r="N28" s="558">
        <v>0.05</v>
      </c>
      <c r="O28" s="558">
        <v>0.05</v>
      </c>
      <c r="P28" s="558">
        <v>0.05</v>
      </c>
      <c r="Q28" s="558">
        <v>0.05</v>
      </c>
      <c r="R28" s="559">
        <v>0.05</v>
      </c>
    </row>
    <row r="29" spans="3:18" x14ac:dyDescent="0.25">
      <c r="C29" s="164" t="s">
        <v>98</v>
      </c>
      <c r="E29" s="478"/>
      <c r="F29" s="527"/>
      <c r="G29" s="96">
        <f>J9</f>
        <v>0</v>
      </c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112"/>
    </row>
    <row r="30" spans="3:18" x14ac:dyDescent="0.25">
      <c r="C30" s="164" t="s">
        <v>42</v>
      </c>
      <c r="D30" s="38"/>
      <c r="E30" s="479"/>
      <c r="F30" s="527"/>
      <c r="G30" s="96">
        <f>N14-N13</f>
        <v>40000</v>
      </c>
      <c r="R30" s="37"/>
    </row>
    <row r="31" spans="3:18" x14ac:dyDescent="0.25">
      <c r="C31" s="164" t="s">
        <v>23</v>
      </c>
      <c r="D31" s="39"/>
      <c r="E31" s="479"/>
      <c r="F31" s="527"/>
      <c r="G31" s="96">
        <f>N13</f>
        <v>0</v>
      </c>
      <c r="H31" s="97"/>
      <c r="R31" s="37"/>
    </row>
    <row r="32" spans="3:18" ht="16.5" thickBot="1" x14ac:dyDescent="0.3">
      <c r="C32" s="164" t="s">
        <v>99</v>
      </c>
      <c r="D32" s="38"/>
      <c r="E32" s="479"/>
      <c r="F32" s="527"/>
      <c r="G32" s="58">
        <f>N19</f>
        <v>0</v>
      </c>
      <c r="H32" s="59">
        <f>-H87</f>
        <v>0</v>
      </c>
      <c r="I32" s="59">
        <f t="shared" ref="I32:R32" si="2">-I87</f>
        <v>0</v>
      </c>
      <c r="J32" s="59">
        <f t="shared" si="2"/>
        <v>0</v>
      </c>
      <c r="K32" s="59">
        <f t="shared" si="2"/>
        <v>0</v>
      </c>
      <c r="L32" s="59">
        <f t="shared" si="2"/>
        <v>0</v>
      </c>
      <c r="M32" s="59">
        <f t="shared" si="2"/>
        <v>0</v>
      </c>
      <c r="N32" s="59">
        <f t="shared" si="2"/>
        <v>0</v>
      </c>
      <c r="O32" s="59">
        <f t="shared" si="2"/>
        <v>0</v>
      </c>
      <c r="P32" s="59">
        <f t="shared" si="2"/>
        <v>0</v>
      </c>
      <c r="Q32" s="59">
        <f t="shared" si="2"/>
        <v>0</v>
      </c>
      <c r="R32" s="60">
        <f t="shared" si="2"/>
        <v>0</v>
      </c>
    </row>
    <row r="33" spans="3:21" ht="16.5" thickBot="1" x14ac:dyDescent="0.3">
      <c r="C33" s="161" t="s">
        <v>43</v>
      </c>
      <c r="D33" s="41"/>
      <c r="E33" s="433"/>
      <c r="F33" s="528"/>
      <c r="G33" s="42">
        <f>SUM(G29:G32)</f>
        <v>40000</v>
      </c>
      <c r="H33" s="43">
        <f t="shared" ref="H33:R33" si="3">G33+H32</f>
        <v>40000</v>
      </c>
      <c r="I33" s="43">
        <f t="shared" si="3"/>
        <v>40000</v>
      </c>
      <c r="J33" s="43">
        <f t="shared" si="3"/>
        <v>40000</v>
      </c>
      <c r="K33" s="43">
        <f t="shared" si="3"/>
        <v>40000</v>
      </c>
      <c r="L33" s="43">
        <f t="shared" si="3"/>
        <v>40000</v>
      </c>
      <c r="M33" s="43">
        <f t="shared" si="3"/>
        <v>40000</v>
      </c>
      <c r="N33" s="43">
        <f t="shared" si="3"/>
        <v>40000</v>
      </c>
      <c r="O33" s="43">
        <f t="shared" si="3"/>
        <v>40000</v>
      </c>
      <c r="P33" s="43">
        <f t="shared" si="3"/>
        <v>40000</v>
      </c>
      <c r="Q33" s="43">
        <f t="shared" si="3"/>
        <v>40000</v>
      </c>
      <c r="R33" s="44">
        <f t="shared" si="3"/>
        <v>40000</v>
      </c>
    </row>
    <row r="34" spans="3:21" ht="16.5" thickBot="1" x14ac:dyDescent="0.3">
      <c r="C34" s="160" t="s">
        <v>94</v>
      </c>
      <c r="D34" s="354"/>
      <c r="E34" s="434"/>
      <c r="F34" s="529"/>
      <c r="G34" s="524">
        <v>0</v>
      </c>
      <c r="H34" s="525">
        <v>0</v>
      </c>
      <c r="I34" s="525">
        <v>0</v>
      </c>
      <c r="J34" s="525">
        <v>0</v>
      </c>
      <c r="K34" s="525">
        <v>0</v>
      </c>
      <c r="L34" s="525">
        <v>0</v>
      </c>
      <c r="M34" s="525">
        <v>0</v>
      </c>
      <c r="N34" s="525">
        <v>0</v>
      </c>
      <c r="O34" s="525">
        <v>0</v>
      </c>
      <c r="P34" s="525">
        <v>0</v>
      </c>
      <c r="Q34" s="525">
        <v>0</v>
      </c>
      <c r="R34" s="526">
        <v>0</v>
      </c>
    </row>
    <row r="35" spans="3:21" x14ac:dyDescent="0.25">
      <c r="C35" s="549" t="s">
        <v>85</v>
      </c>
      <c r="D35" s="45"/>
      <c r="E35" s="480" t="str">
        <f>IFERROR(F35/RR!$O$15,"")</f>
        <v/>
      </c>
      <c r="F35" s="530">
        <f>'T-12'!K5</f>
        <v>0</v>
      </c>
      <c r="G35" s="129">
        <f>RR!T15</f>
        <v>0</v>
      </c>
      <c r="H35" s="73">
        <f>G35*(1+H26)+G38</f>
        <v>0</v>
      </c>
      <c r="I35" s="73">
        <f>H35*(1+I26)+H38</f>
        <v>0</v>
      </c>
      <c r="J35" s="73">
        <f>I35*(1+J26)+I38</f>
        <v>0</v>
      </c>
      <c r="K35" s="73">
        <f>J35*(1+K26)+J38</f>
        <v>0</v>
      </c>
      <c r="L35" s="73">
        <f>K35*(1+L26)+K38</f>
        <v>0</v>
      </c>
      <c r="M35" s="73">
        <f>L35*(1+M26)+L38</f>
        <v>0</v>
      </c>
      <c r="N35" s="73">
        <f>M35*(1+N26)+M38</f>
        <v>0</v>
      </c>
      <c r="O35" s="73">
        <f>N35*(1+O26)+N38</f>
        <v>0</v>
      </c>
      <c r="P35" s="73">
        <f>O35*(1+P26)+O38</f>
        <v>0</v>
      </c>
      <c r="Q35" s="73">
        <f>P35*(1+Q26)+P38</f>
        <v>0</v>
      </c>
      <c r="R35" s="130">
        <f>Q35*(1+R26)+Q38</f>
        <v>0</v>
      </c>
    </row>
    <row r="36" spans="3:21" x14ac:dyDescent="0.25">
      <c r="C36" s="549" t="s">
        <v>175</v>
      </c>
      <c r="D36" s="45"/>
      <c r="E36" s="480" t="str">
        <f>IFERROR(F36/RR!$O$15,"")</f>
        <v/>
      </c>
      <c r="F36" s="530">
        <f>'T-12'!K6</f>
        <v>0</v>
      </c>
      <c r="G36" s="46">
        <f>RR!S47</f>
        <v>0</v>
      </c>
      <c r="H36" s="48">
        <f>G36*(1+H27)</f>
        <v>0</v>
      </c>
      <c r="I36" s="48">
        <f t="shared" ref="I36:R36" si="4">H36*(1+I27)</f>
        <v>0</v>
      </c>
      <c r="J36" s="48">
        <f t="shared" si="4"/>
        <v>0</v>
      </c>
      <c r="K36" s="48">
        <f t="shared" si="4"/>
        <v>0</v>
      </c>
      <c r="L36" s="48">
        <f t="shared" si="4"/>
        <v>0</v>
      </c>
      <c r="M36" s="48">
        <f t="shared" si="4"/>
        <v>0</v>
      </c>
      <c r="N36" s="48">
        <f t="shared" si="4"/>
        <v>0</v>
      </c>
      <c r="O36" s="48">
        <f t="shared" si="4"/>
        <v>0</v>
      </c>
      <c r="P36" s="48">
        <f t="shared" si="4"/>
        <v>0</v>
      </c>
      <c r="Q36" s="48">
        <f t="shared" si="4"/>
        <v>0</v>
      </c>
      <c r="R36" s="23">
        <f t="shared" si="4"/>
        <v>0</v>
      </c>
    </row>
    <row r="37" spans="3:21" x14ac:dyDescent="0.25">
      <c r="C37" s="549" t="s">
        <v>86</v>
      </c>
      <c r="D37" s="93"/>
      <c r="E37" s="480" t="str">
        <f>IFERROR(F37/RR!$O$15,"")</f>
        <v/>
      </c>
      <c r="F37" s="530">
        <f>'T-12'!K7</f>
        <v>0</v>
      </c>
      <c r="G37" s="46">
        <f>F37</f>
        <v>0</v>
      </c>
      <c r="H37" s="48">
        <f t="shared" ref="H37:R37" si="5">G37*(1+H28)</f>
        <v>0</v>
      </c>
      <c r="I37" s="48">
        <f t="shared" si="5"/>
        <v>0</v>
      </c>
      <c r="J37" s="48">
        <f t="shared" si="5"/>
        <v>0</v>
      </c>
      <c r="K37" s="48">
        <f t="shared" si="5"/>
        <v>0</v>
      </c>
      <c r="L37" s="48">
        <f t="shared" si="5"/>
        <v>0</v>
      </c>
      <c r="M37" s="48">
        <f t="shared" si="5"/>
        <v>0</v>
      </c>
      <c r="N37" s="48">
        <f t="shared" si="5"/>
        <v>0</v>
      </c>
      <c r="O37" s="48">
        <f t="shared" si="5"/>
        <v>0</v>
      </c>
      <c r="P37" s="48">
        <f t="shared" si="5"/>
        <v>0</v>
      </c>
      <c r="Q37" s="48">
        <f t="shared" si="5"/>
        <v>0</v>
      </c>
      <c r="R37" s="23">
        <f t="shared" si="5"/>
        <v>0</v>
      </c>
      <c r="S37" s="354"/>
      <c r="T37" s="354"/>
      <c r="U37" s="354"/>
    </row>
    <row r="38" spans="3:21" ht="16.5" thickBot="1" x14ac:dyDescent="0.3">
      <c r="C38" s="355" t="s">
        <v>96</v>
      </c>
      <c r="D38" s="356">
        <f>IFERROR(AVERAGEIF(RR!K8:K500,"&gt;0",RR!K8:K500),0)</f>
        <v>0</v>
      </c>
      <c r="E38" s="480" t="str">
        <f>IFERROR(F38/RR!$O$15,"")</f>
        <v/>
      </c>
      <c r="F38" s="531">
        <v>0</v>
      </c>
      <c r="G38" s="411">
        <f>D38*G34*12</f>
        <v>0</v>
      </c>
      <c r="H38" s="412">
        <f>($D$38*(1+H26)^H24)*12*H34</f>
        <v>0</v>
      </c>
      <c r="I38" s="412">
        <f>($D$38*(1+I26)^I24)*12*I34</f>
        <v>0</v>
      </c>
      <c r="J38" s="412">
        <f>($D$38*(1+J26)^J24)*12*J34</f>
        <v>0</v>
      </c>
      <c r="K38" s="412">
        <f>($D$38*(1+K26)^K24)*12*K34</f>
        <v>0</v>
      </c>
      <c r="L38" s="412">
        <f>($D$38*(1+L26)^L24)*12*L34</f>
        <v>0</v>
      </c>
      <c r="M38" s="412">
        <f>($D$38*(1+M26)^M24)*12*M34</f>
        <v>0</v>
      </c>
      <c r="N38" s="412">
        <f>($D$38*(1+N26)^N24)*12*N34</f>
        <v>0</v>
      </c>
      <c r="O38" s="412">
        <f>($D$38*(1+O26)^O24)*12*O34</f>
        <v>0</v>
      </c>
      <c r="P38" s="412">
        <f>($D$38*(1+P26)^P24)*12*P34</f>
        <v>0</v>
      </c>
      <c r="Q38" s="412">
        <f>($D$38*(1+Q26)^Q24)*12*Q34</f>
        <v>0</v>
      </c>
      <c r="R38" s="413">
        <f>($D$38*(1+R26)^R24)*12*R34</f>
        <v>0</v>
      </c>
    </row>
    <row r="39" spans="3:21" ht="16.5" thickBot="1" x14ac:dyDescent="0.3">
      <c r="C39" s="353" t="s">
        <v>180</v>
      </c>
      <c r="D39" s="47"/>
      <c r="E39" s="437"/>
      <c r="F39" s="532">
        <f t="shared" ref="F39" si="6">SUM(F35:F37)</f>
        <v>0</v>
      </c>
      <c r="G39" s="42">
        <f>SUM(G35:G38)</f>
        <v>0</v>
      </c>
      <c r="H39" s="43">
        <f t="shared" ref="H39:R39" si="7">SUM(H35:H38)</f>
        <v>0</v>
      </c>
      <c r="I39" s="43">
        <f t="shared" si="7"/>
        <v>0</v>
      </c>
      <c r="J39" s="43">
        <f t="shared" si="7"/>
        <v>0</v>
      </c>
      <c r="K39" s="43">
        <f t="shared" si="7"/>
        <v>0</v>
      </c>
      <c r="L39" s="43">
        <f t="shared" si="7"/>
        <v>0</v>
      </c>
      <c r="M39" s="43">
        <f t="shared" si="7"/>
        <v>0</v>
      </c>
      <c r="N39" s="43">
        <f t="shared" si="7"/>
        <v>0</v>
      </c>
      <c r="O39" s="43">
        <f t="shared" si="7"/>
        <v>0</v>
      </c>
      <c r="P39" s="43">
        <f t="shared" si="7"/>
        <v>0</v>
      </c>
      <c r="Q39" s="43">
        <f t="shared" si="7"/>
        <v>0</v>
      </c>
      <c r="R39" s="44">
        <f t="shared" si="7"/>
        <v>0</v>
      </c>
    </row>
    <row r="40" spans="3:21" x14ac:dyDescent="0.25">
      <c r="C40" s="165" t="s">
        <v>44</v>
      </c>
      <c r="D40" s="47"/>
      <c r="E40" s="438"/>
      <c r="F40" s="533"/>
      <c r="G40" s="138">
        <f>MAX(5%, 1-RR!V7)</f>
        <v>1</v>
      </c>
      <c r="H40" s="139">
        <v>0.05</v>
      </c>
      <c r="I40" s="139">
        <v>0.05</v>
      </c>
      <c r="J40" s="139">
        <v>0.05</v>
      </c>
      <c r="K40" s="139">
        <v>0.05</v>
      </c>
      <c r="L40" s="139">
        <v>0.05</v>
      </c>
      <c r="M40" s="139">
        <v>0.05</v>
      </c>
      <c r="N40" s="139">
        <v>0.05</v>
      </c>
      <c r="O40" s="139">
        <v>0.05</v>
      </c>
      <c r="P40" s="139">
        <v>0.05</v>
      </c>
      <c r="Q40" s="139">
        <v>0.05</v>
      </c>
      <c r="R40" s="140">
        <v>0.05</v>
      </c>
    </row>
    <row r="41" spans="3:21" x14ac:dyDescent="0.25">
      <c r="C41" s="164" t="s">
        <v>176</v>
      </c>
      <c r="D41" s="354"/>
      <c r="E41" s="434"/>
      <c r="F41" s="529"/>
      <c r="G41" s="274">
        <f>MAX(5%,1-RR!U29)</f>
        <v>1</v>
      </c>
      <c r="H41" s="275">
        <v>0.1</v>
      </c>
      <c r="I41" s="275">
        <v>0.05</v>
      </c>
      <c r="J41" s="275">
        <v>0.05</v>
      </c>
      <c r="K41" s="275">
        <v>0.05</v>
      </c>
      <c r="L41" s="275">
        <v>0.05</v>
      </c>
      <c r="M41" s="275">
        <v>0.05</v>
      </c>
      <c r="N41" s="275">
        <v>0.05</v>
      </c>
      <c r="O41" s="275">
        <v>0.05</v>
      </c>
      <c r="P41" s="275">
        <v>0.05</v>
      </c>
      <c r="Q41" s="275">
        <v>0.05</v>
      </c>
      <c r="R41" s="276">
        <v>0.05</v>
      </c>
    </row>
    <row r="42" spans="3:21" x14ac:dyDescent="0.25">
      <c r="C42" s="482" t="s">
        <v>87</v>
      </c>
      <c r="D42" s="483"/>
      <c r="E42" s="484"/>
      <c r="F42" s="534"/>
      <c r="G42" s="485">
        <v>0.05</v>
      </c>
      <c r="H42" s="486">
        <v>0.05</v>
      </c>
      <c r="I42" s="486">
        <v>0.05</v>
      </c>
      <c r="J42" s="486">
        <v>0.05</v>
      </c>
      <c r="K42" s="486">
        <v>0.05</v>
      </c>
      <c r="L42" s="486">
        <v>0.05</v>
      </c>
      <c r="M42" s="486">
        <v>0.05</v>
      </c>
      <c r="N42" s="486">
        <v>0.05</v>
      </c>
      <c r="O42" s="486">
        <v>0.05</v>
      </c>
      <c r="P42" s="486">
        <v>0.05</v>
      </c>
      <c r="Q42" s="486">
        <v>0.05</v>
      </c>
      <c r="R42" s="487">
        <v>0.05</v>
      </c>
    </row>
    <row r="43" spans="3:21" x14ac:dyDescent="0.25">
      <c r="C43" s="164" t="s">
        <v>45</v>
      </c>
      <c r="D43" s="54"/>
      <c r="E43" s="480" t="str">
        <f>IFERROR(F43/RR!$O$15,"")</f>
        <v/>
      </c>
      <c r="F43" s="530">
        <f>'T-12'!K9</f>
        <v>0</v>
      </c>
      <c r="G43" s="52">
        <f>G40*-G35</f>
        <v>0</v>
      </c>
      <c r="H43" s="53">
        <f>H40*-H35</f>
        <v>0</v>
      </c>
      <c r="I43" s="53">
        <f>I40*-I35</f>
        <v>0</v>
      </c>
      <c r="J43" s="53">
        <f>J40*-J35</f>
        <v>0</v>
      </c>
      <c r="K43" s="53">
        <f>K40*-K35</f>
        <v>0</v>
      </c>
      <c r="L43" s="53">
        <f>L40*-L35</f>
        <v>0</v>
      </c>
      <c r="M43" s="53">
        <f>M40*-M35</f>
        <v>0</v>
      </c>
      <c r="N43" s="53">
        <f>N40*-N35</f>
        <v>0</v>
      </c>
      <c r="O43" s="53">
        <f>O40*-O35</f>
        <v>0</v>
      </c>
      <c r="P43" s="53">
        <f>P40*-P35</f>
        <v>0</v>
      </c>
      <c r="Q43" s="53">
        <f>Q40*-Q35</f>
        <v>0</v>
      </c>
      <c r="R43" s="118">
        <f>R40*-R35</f>
        <v>0</v>
      </c>
    </row>
    <row r="44" spans="3:21" x14ac:dyDescent="0.25">
      <c r="C44" s="164" t="s">
        <v>177</v>
      </c>
      <c r="D44" s="54"/>
      <c r="E44" s="480" t="str">
        <f>IFERROR(F44/RR!$O$15,"")</f>
        <v/>
      </c>
      <c r="F44" s="530">
        <f>'T-12'!K10</f>
        <v>0</v>
      </c>
      <c r="G44" s="52">
        <f>G41*-G36</f>
        <v>0</v>
      </c>
      <c r="H44" s="53">
        <f>H41*-H36</f>
        <v>0</v>
      </c>
      <c r="I44" s="53">
        <f>I41*-I36</f>
        <v>0</v>
      </c>
      <c r="J44" s="53">
        <f>J41*-J36</f>
        <v>0</v>
      </c>
      <c r="K44" s="53">
        <f>K41*-K36</f>
        <v>0</v>
      </c>
      <c r="L44" s="53">
        <f>L41*-L36</f>
        <v>0</v>
      </c>
      <c r="M44" s="53">
        <f>M41*-M36</f>
        <v>0</v>
      </c>
      <c r="N44" s="53">
        <f>N41*-N36</f>
        <v>0</v>
      </c>
      <c r="O44" s="53">
        <f>O41*-O36</f>
        <v>0</v>
      </c>
      <c r="P44" s="53">
        <f>P41*-P36</f>
        <v>0</v>
      </c>
      <c r="Q44" s="53">
        <f>Q41*-Q36</f>
        <v>0</v>
      </c>
      <c r="R44" s="118">
        <f>R41*-R36</f>
        <v>0</v>
      </c>
    </row>
    <row r="45" spans="3:21" x14ac:dyDescent="0.25">
      <c r="C45" s="164" t="s">
        <v>88</v>
      </c>
      <c r="E45" s="480" t="str">
        <f>IFERROR(F45/RR!$O$15,"")</f>
        <v/>
      </c>
      <c r="F45" s="530">
        <f>'T-12'!K11</f>
        <v>0</v>
      </c>
      <c r="G45" s="94">
        <f>-G42*G37</f>
        <v>0</v>
      </c>
      <c r="H45" s="91">
        <f>-H42*H37</f>
        <v>0</v>
      </c>
      <c r="I45" s="91">
        <f>-I42*I37</f>
        <v>0</v>
      </c>
      <c r="J45" s="91">
        <f>-J42*J37</f>
        <v>0</v>
      </c>
      <c r="K45" s="91">
        <f>-K42*K37</f>
        <v>0</v>
      </c>
      <c r="L45" s="91">
        <f>-L42*L37</f>
        <v>0</v>
      </c>
      <c r="M45" s="91">
        <f>-M42*M37</f>
        <v>0</v>
      </c>
      <c r="N45" s="91">
        <f>-N42*N37</f>
        <v>0</v>
      </c>
      <c r="O45" s="91">
        <f>-O42*O37</f>
        <v>0</v>
      </c>
      <c r="P45" s="91">
        <f>-P42*P37</f>
        <v>0</v>
      </c>
      <c r="Q45" s="91">
        <f>-Q42*Q37</f>
        <v>0</v>
      </c>
      <c r="R45" s="119">
        <f>-R42*R37</f>
        <v>0</v>
      </c>
    </row>
    <row r="46" spans="3:21" x14ac:dyDescent="0.25">
      <c r="C46" s="164" t="s">
        <v>46</v>
      </c>
      <c r="D46" s="147">
        <v>0.01</v>
      </c>
      <c r="E46" s="480" t="str">
        <f>IFERROR(F46/RR!$O$15,"")</f>
        <v/>
      </c>
      <c r="F46" s="530">
        <f>'T-12'!K12</f>
        <v>0</v>
      </c>
      <c r="G46" s="55">
        <f>-G39*D46</f>
        <v>0</v>
      </c>
      <c r="H46" s="414">
        <f>-D46*H39</f>
        <v>0</v>
      </c>
      <c r="I46" s="414">
        <f>$D$46*-I39</f>
        <v>0</v>
      </c>
      <c r="J46" s="414">
        <f>$D$46*-J39</f>
        <v>0</v>
      </c>
      <c r="K46" s="414">
        <f>$D$46*-K39</f>
        <v>0</v>
      </c>
      <c r="L46" s="414">
        <f>$D$46*-L39</f>
        <v>0</v>
      </c>
      <c r="M46" s="414">
        <f>$D$46*-M39</f>
        <v>0</v>
      </c>
      <c r="N46" s="414">
        <f>$D$46*-N39</f>
        <v>0</v>
      </c>
      <c r="O46" s="414">
        <f>$D$46*-O39</f>
        <v>0</v>
      </c>
      <c r="P46" s="414">
        <f>$D$46*-P39</f>
        <v>0</v>
      </c>
      <c r="Q46" s="414">
        <f>$D$46*-Q39</f>
        <v>0</v>
      </c>
      <c r="R46" s="56">
        <f>$D$46*-R39</f>
        <v>0</v>
      </c>
    </row>
    <row r="47" spans="3:21" x14ac:dyDescent="0.25">
      <c r="C47" s="160" t="s">
        <v>47</v>
      </c>
      <c r="E47" s="480" t="str">
        <f>IFERROR(F47/RR!$O$15,"")</f>
        <v/>
      </c>
      <c r="F47" s="535">
        <f>SUM(F40:F46)</f>
        <v>0</v>
      </c>
      <c r="G47" s="57">
        <f t="shared" ref="G47:R47" si="8">SUM(G43:G46)</f>
        <v>0</v>
      </c>
      <c r="H47" s="415">
        <f t="shared" si="8"/>
        <v>0</v>
      </c>
      <c r="I47" s="415">
        <f t="shared" si="8"/>
        <v>0</v>
      </c>
      <c r="J47" s="415">
        <f t="shared" si="8"/>
        <v>0</v>
      </c>
      <c r="K47" s="415">
        <f t="shared" si="8"/>
        <v>0</v>
      </c>
      <c r="L47" s="415">
        <f t="shared" si="8"/>
        <v>0</v>
      </c>
      <c r="M47" s="415">
        <f t="shared" si="8"/>
        <v>0</v>
      </c>
      <c r="N47" s="415">
        <f t="shared" si="8"/>
        <v>0</v>
      </c>
      <c r="O47" s="415">
        <f t="shared" si="8"/>
        <v>0</v>
      </c>
      <c r="P47" s="415">
        <f t="shared" si="8"/>
        <v>0</v>
      </c>
      <c r="Q47" s="415">
        <f t="shared" si="8"/>
        <v>0</v>
      </c>
      <c r="R47" s="121">
        <f t="shared" si="8"/>
        <v>0</v>
      </c>
    </row>
    <row r="48" spans="3:21" ht="16.5" thickBot="1" x14ac:dyDescent="0.3">
      <c r="C48" s="162" t="s">
        <v>139</v>
      </c>
      <c r="D48" s="45"/>
      <c r="E48" s="480" t="str">
        <f>IFERROR(F48/RR!$O$15,"")</f>
        <v/>
      </c>
      <c r="F48" s="530">
        <f>'T-12'!K8</f>
        <v>0</v>
      </c>
      <c r="G48" s="49">
        <f>F48</f>
        <v>0</v>
      </c>
      <c r="H48" s="50">
        <f>G48*(1+H26)</f>
        <v>0</v>
      </c>
      <c r="I48" s="50">
        <f>H48*(1+I26)</f>
        <v>0</v>
      </c>
      <c r="J48" s="50">
        <f>I48*(1+J26)</f>
        <v>0</v>
      </c>
      <c r="K48" s="50">
        <f>J48*(1+K26)</f>
        <v>0</v>
      </c>
      <c r="L48" s="50">
        <f>K48*(1+L26)</f>
        <v>0</v>
      </c>
      <c r="M48" s="50">
        <f>L48*(1+M26)</f>
        <v>0</v>
      </c>
      <c r="N48" s="50">
        <f>M48*(1+N26)</f>
        <v>0</v>
      </c>
      <c r="O48" s="50">
        <f>N48*(1+O26)</f>
        <v>0</v>
      </c>
      <c r="P48" s="50">
        <f>O48*(1+P26)</f>
        <v>0</v>
      </c>
      <c r="Q48" s="50">
        <f>P48*(1+Q26)</f>
        <v>0</v>
      </c>
      <c r="R48" s="122">
        <f>Q48*(1+R26)</f>
        <v>0</v>
      </c>
    </row>
    <row r="49" spans="3:18" ht="16.5" thickBot="1" x14ac:dyDescent="0.3">
      <c r="C49" s="163" t="s">
        <v>179</v>
      </c>
      <c r="D49" s="51"/>
      <c r="E49" s="488" t="str">
        <f>IFERROR(F49/RR!$O$15,"")</f>
        <v/>
      </c>
      <c r="F49" s="536">
        <f>F39+F47+F48</f>
        <v>0</v>
      </c>
      <c r="G49" s="90">
        <f>G39+G47+G48+G38</f>
        <v>0</v>
      </c>
      <c r="H49" s="92">
        <f>H39+H47+H48+H38</f>
        <v>0</v>
      </c>
      <c r="I49" s="92">
        <f>I39+I47+I48+I38</f>
        <v>0</v>
      </c>
      <c r="J49" s="92">
        <f>J39+J47+J48+J38</f>
        <v>0</v>
      </c>
      <c r="K49" s="92">
        <f>K39+K47+K48+K38</f>
        <v>0</v>
      </c>
      <c r="L49" s="92">
        <f>L39+L47+L48+L38</f>
        <v>0</v>
      </c>
      <c r="M49" s="92">
        <f>M39+M47+M48+M38</f>
        <v>0</v>
      </c>
      <c r="N49" s="92">
        <f>N39+N47+N48+N38</f>
        <v>0</v>
      </c>
      <c r="O49" s="92">
        <f>O39+O47+O48+O38</f>
        <v>0</v>
      </c>
      <c r="P49" s="92">
        <f>P39+P47+P48+P38</f>
        <v>0</v>
      </c>
      <c r="Q49" s="92">
        <f>Q39+Q47+Q48+Q38</f>
        <v>0</v>
      </c>
      <c r="R49" s="123">
        <f>R39+R47+R48+R38</f>
        <v>0</v>
      </c>
    </row>
    <row r="50" spans="3:18" ht="16.5" thickBot="1" x14ac:dyDescent="0.3">
      <c r="C50" s="165" t="s">
        <v>48</v>
      </c>
      <c r="D50" s="47"/>
      <c r="E50" s="441"/>
      <c r="F50" s="537"/>
      <c r="G50" s="142">
        <v>0.03</v>
      </c>
      <c r="H50" s="143">
        <v>0.03</v>
      </c>
      <c r="I50" s="143">
        <v>0.03</v>
      </c>
      <c r="J50" s="143">
        <v>0.03</v>
      </c>
      <c r="K50" s="143">
        <v>0.03</v>
      </c>
      <c r="L50" s="143">
        <v>0.03</v>
      </c>
      <c r="M50" s="143">
        <v>0.03</v>
      </c>
      <c r="N50" s="143">
        <v>0.03</v>
      </c>
      <c r="O50" s="143">
        <v>0.03</v>
      </c>
      <c r="P50" s="143">
        <v>0.03</v>
      </c>
      <c r="Q50" s="143">
        <v>0.03</v>
      </c>
      <c r="R50" s="144">
        <v>0.03</v>
      </c>
    </row>
    <row r="51" spans="3:18" x14ac:dyDescent="0.25">
      <c r="C51" s="160" t="s">
        <v>49</v>
      </c>
      <c r="E51" s="435"/>
      <c r="F51" s="530"/>
      <c r="G51" s="554"/>
      <c r="H51" s="555"/>
      <c r="I51" s="555"/>
      <c r="J51" s="555"/>
      <c r="K51" s="555"/>
      <c r="L51" s="555"/>
      <c r="M51" s="555"/>
      <c r="N51" s="555"/>
      <c r="O51" s="555"/>
      <c r="P51" s="555"/>
      <c r="Q51" s="555"/>
      <c r="R51" s="556"/>
    </row>
    <row r="52" spans="3:18" x14ac:dyDescent="0.25">
      <c r="C52" s="164" t="s">
        <v>50</v>
      </c>
      <c r="D52" s="63"/>
      <c r="E52" s="480" t="str">
        <f>IFERROR(F52/RR!$O$15,"")</f>
        <v/>
      </c>
      <c r="F52" s="530">
        <f>'T-12'!K14</f>
        <v>0</v>
      </c>
      <c r="G52" s="173">
        <f>F52*(1+G50)</f>
        <v>0</v>
      </c>
      <c r="H52" s="414">
        <f>G52*(1+H50)</f>
        <v>0</v>
      </c>
      <c r="I52" s="414">
        <f t="shared" ref="I52:R52" si="9">H52*(1+I50)</f>
        <v>0</v>
      </c>
      <c r="J52" s="414">
        <f t="shared" si="9"/>
        <v>0</v>
      </c>
      <c r="K52" s="414">
        <f t="shared" si="9"/>
        <v>0</v>
      </c>
      <c r="L52" s="414">
        <f t="shared" si="9"/>
        <v>0</v>
      </c>
      <c r="M52" s="414">
        <f t="shared" si="9"/>
        <v>0</v>
      </c>
      <c r="N52" s="414">
        <f t="shared" si="9"/>
        <v>0</v>
      </c>
      <c r="O52" s="414">
        <f t="shared" si="9"/>
        <v>0</v>
      </c>
      <c r="P52" s="414">
        <f t="shared" si="9"/>
        <v>0</v>
      </c>
      <c r="Q52" s="414">
        <f t="shared" si="9"/>
        <v>0</v>
      </c>
      <c r="R52" s="56">
        <f t="shared" si="9"/>
        <v>0</v>
      </c>
    </row>
    <row r="53" spans="3:18" x14ac:dyDescent="0.25">
      <c r="C53" s="164" t="s">
        <v>51</v>
      </c>
      <c r="D53" s="145">
        <f>-750</f>
        <v>-750</v>
      </c>
      <c r="E53" s="480" t="str">
        <f>IFERROR(F53/RR!$O$15,"")</f>
        <v/>
      </c>
      <c r="F53" s="530">
        <f>'T-12'!K15</f>
        <v>0</v>
      </c>
      <c r="G53" s="55">
        <f>MIN(D53*'Deal Summary'!$O$8,F53*(1+$G$50))</f>
        <v>0</v>
      </c>
      <c r="H53" s="414">
        <f>G53*(1+H50)</f>
        <v>0</v>
      </c>
      <c r="I53" s="414">
        <f t="shared" ref="I53:R53" si="10">H53*(1+I50)</f>
        <v>0</v>
      </c>
      <c r="J53" s="414">
        <f t="shared" si="10"/>
        <v>0</v>
      </c>
      <c r="K53" s="414">
        <f t="shared" si="10"/>
        <v>0</v>
      </c>
      <c r="L53" s="414">
        <f t="shared" si="10"/>
        <v>0</v>
      </c>
      <c r="M53" s="414">
        <f t="shared" si="10"/>
        <v>0</v>
      </c>
      <c r="N53" s="414">
        <f t="shared" si="10"/>
        <v>0</v>
      </c>
      <c r="O53" s="414">
        <f t="shared" si="10"/>
        <v>0</v>
      </c>
      <c r="P53" s="414">
        <f t="shared" si="10"/>
        <v>0</v>
      </c>
      <c r="Q53" s="414">
        <f t="shared" si="10"/>
        <v>0</v>
      </c>
      <c r="R53" s="56">
        <f t="shared" si="10"/>
        <v>0</v>
      </c>
    </row>
    <row r="54" spans="3:18" x14ac:dyDescent="0.25">
      <c r="C54" s="164" t="s">
        <v>91</v>
      </c>
      <c r="D54" s="553"/>
      <c r="E54" s="480" t="str">
        <f>IFERROR(F54/RR!$O$15,"")</f>
        <v/>
      </c>
      <c r="F54" s="530">
        <f>'T-12'!K16</f>
        <v>0</v>
      </c>
      <c r="G54" s="55">
        <f>F54*(1+$G$50)</f>
        <v>0</v>
      </c>
      <c r="H54" s="414">
        <f>G54*(1+H50)</f>
        <v>0</v>
      </c>
      <c r="I54" s="414">
        <f t="shared" ref="I54:R54" si="11">H54*(1+I50)</f>
        <v>0</v>
      </c>
      <c r="J54" s="414">
        <f t="shared" si="11"/>
        <v>0</v>
      </c>
      <c r="K54" s="414">
        <f t="shared" si="11"/>
        <v>0</v>
      </c>
      <c r="L54" s="414">
        <f t="shared" si="11"/>
        <v>0</v>
      </c>
      <c r="M54" s="414">
        <f t="shared" si="11"/>
        <v>0</v>
      </c>
      <c r="N54" s="414">
        <f t="shared" si="11"/>
        <v>0</v>
      </c>
      <c r="O54" s="414">
        <f t="shared" si="11"/>
        <v>0</v>
      </c>
      <c r="P54" s="414">
        <f t="shared" si="11"/>
        <v>0</v>
      </c>
      <c r="Q54" s="414">
        <f t="shared" si="11"/>
        <v>0</v>
      </c>
      <c r="R54" s="56">
        <f t="shared" si="11"/>
        <v>0</v>
      </c>
    </row>
    <row r="55" spans="3:18" x14ac:dyDescent="0.25">
      <c r="C55" s="164" t="s">
        <v>92</v>
      </c>
      <c r="D55" s="553"/>
      <c r="E55" s="480" t="str">
        <f>IFERROR(F55/RR!$O$15,"")</f>
        <v/>
      </c>
      <c r="F55" s="530">
        <f>'T-12'!K17</f>
        <v>0</v>
      </c>
      <c r="G55" s="55">
        <f>F55*(1+$G$50)</f>
        <v>0</v>
      </c>
      <c r="H55" s="414">
        <f>G55*(1+H50)</f>
        <v>0</v>
      </c>
      <c r="I55" s="414">
        <f t="shared" ref="I55:R55" si="12">H55*(1+I50)</f>
        <v>0</v>
      </c>
      <c r="J55" s="414">
        <f t="shared" si="12"/>
        <v>0</v>
      </c>
      <c r="K55" s="414">
        <f t="shared" si="12"/>
        <v>0</v>
      </c>
      <c r="L55" s="414">
        <f t="shared" si="12"/>
        <v>0</v>
      </c>
      <c r="M55" s="414">
        <f t="shared" si="12"/>
        <v>0</v>
      </c>
      <c r="N55" s="414">
        <f t="shared" si="12"/>
        <v>0</v>
      </c>
      <c r="O55" s="414">
        <f t="shared" si="12"/>
        <v>0</v>
      </c>
      <c r="P55" s="414">
        <f t="shared" si="12"/>
        <v>0</v>
      </c>
      <c r="Q55" s="414">
        <f t="shared" si="12"/>
        <v>0</v>
      </c>
      <c r="R55" s="56">
        <f t="shared" si="12"/>
        <v>0</v>
      </c>
    </row>
    <row r="56" spans="3:18" x14ac:dyDescent="0.25">
      <c r="C56" s="164" t="s">
        <v>93</v>
      </c>
      <c r="D56" s="63"/>
      <c r="E56" s="480" t="str">
        <f>IFERROR(F56/RR!$O$15,"")</f>
        <v/>
      </c>
      <c r="F56" s="530">
        <f>'T-12'!K18</f>
        <v>0</v>
      </c>
      <c r="G56" s="55">
        <f>F56*(1+$G$50)</f>
        <v>0</v>
      </c>
      <c r="H56" s="414">
        <f>G56*(1+H50)</f>
        <v>0</v>
      </c>
      <c r="I56" s="414">
        <f t="shared" ref="I56:R56" si="13">H56*(1+I50)</f>
        <v>0</v>
      </c>
      <c r="J56" s="414">
        <f t="shared" si="13"/>
        <v>0</v>
      </c>
      <c r="K56" s="414">
        <f t="shared" si="13"/>
        <v>0</v>
      </c>
      <c r="L56" s="414">
        <f t="shared" si="13"/>
        <v>0</v>
      </c>
      <c r="M56" s="414">
        <f t="shared" si="13"/>
        <v>0</v>
      </c>
      <c r="N56" s="414">
        <f t="shared" si="13"/>
        <v>0</v>
      </c>
      <c r="O56" s="414">
        <f t="shared" si="13"/>
        <v>0</v>
      </c>
      <c r="P56" s="414">
        <f t="shared" si="13"/>
        <v>0</v>
      </c>
      <c r="Q56" s="414">
        <f t="shared" si="13"/>
        <v>0</v>
      </c>
      <c r="R56" s="56">
        <f t="shared" si="13"/>
        <v>0</v>
      </c>
    </row>
    <row r="57" spans="3:18" x14ac:dyDescent="0.25">
      <c r="C57" s="164" t="s">
        <v>52</v>
      </c>
      <c r="D57" s="63"/>
      <c r="E57" s="480" t="str">
        <f>IFERROR(F57/RR!$O$15,"")</f>
        <v/>
      </c>
      <c r="F57" s="530">
        <f>'T-12'!K19</f>
        <v>0</v>
      </c>
      <c r="G57" s="55">
        <f>F57*(1+$G$50)</f>
        <v>0</v>
      </c>
      <c r="H57" s="414">
        <f>G57*(1+H50)</f>
        <v>0</v>
      </c>
      <c r="I57" s="414">
        <f t="shared" ref="I57:R57" si="14">H57*(1+I50)</f>
        <v>0</v>
      </c>
      <c r="J57" s="414">
        <f t="shared" si="14"/>
        <v>0</v>
      </c>
      <c r="K57" s="414">
        <f t="shared" si="14"/>
        <v>0</v>
      </c>
      <c r="L57" s="414">
        <f t="shared" si="14"/>
        <v>0</v>
      </c>
      <c r="M57" s="414">
        <f t="shared" si="14"/>
        <v>0</v>
      </c>
      <c r="N57" s="414">
        <f t="shared" si="14"/>
        <v>0</v>
      </c>
      <c r="O57" s="414">
        <f t="shared" si="14"/>
        <v>0</v>
      </c>
      <c r="P57" s="414">
        <f t="shared" si="14"/>
        <v>0</v>
      </c>
      <c r="Q57" s="414">
        <f t="shared" si="14"/>
        <v>0</v>
      </c>
      <c r="R57" s="56">
        <f t="shared" si="14"/>
        <v>0</v>
      </c>
    </row>
    <row r="58" spans="3:18" x14ac:dyDescent="0.25">
      <c r="C58" s="164" t="s">
        <v>56</v>
      </c>
      <c r="D58" s="145">
        <f>-250</f>
        <v>-250</v>
      </c>
      <c r="E58" s="480" t="str">
        <f>IFERROR(F58/RR!$O$15,"")</f>
        <v/>
      </c>
      <c r="F58" s="530">
        <f>'T-12'!K20</f>
        <v>0</v>
      </c>
      <c r="G58" s="55">
        <f>MIN(D58*'Deal Summary'!$O$8,F58*(1+$G$50))</f>
        <v>0</v>
      </c>
      <c r="H58" s="414">
        <f>G58*(1+H50)</f>
        <v>0</v>
      </c>
      <c r="I58" s="414">
        <f t="shared" ref="I58:R58" si="15">H58*(1+I50)</f>
        <v>0</v>
      </c>
      <c r="J58" s="414">
        <f t="shared" si="15"/>
        <v>0</v>
      </c>
      <c r="K58" s="414">
        <f t="shared" si="15"/>
        <v>0</v>
      </c>
      <c r="L58" s="414">
        <f t="shared" si="15"/>
        <v>0</v>
      </c>
      <c r="M58" s="414">
        <f t="shared" si="15"/>
        <v>0</v>
      </c>
      <c r="N58" s="414">
        <f t="shared" si="15"/>
        <v>0</v>
      </c>
      <c r="O58" s="414">
        <f t="shared" si="15"/>
        <v>0</v>
      </c>
      <c r="P58" s="414">
        <f t="shared" si="15"/>
        <v>0</v>
      </c>
      <c r="Q58" s="414">
        <f t="shared" si="15"/>
        <v>0</v>
      </c>
      <c r="R58" s="56">
        <f t="shared" si="15"/>
        <v>0</v>
      </c>
    </row>
    <row r="59" spans="3:18" x14ac:dyDescent="0.25">
      <c r="C59" s="164" t="s">
        <v>53</v>
      </c>
      <c r="D59" s="145">
        <f>-750</f>
        <v>-750</v>
      </c>
      <c r="E59" s="480" t="str">
        <f>IFERROR(F59/RR!$O$15,"")</f>
        <v/>
      </c>
      <c r="F59" s="530">
        <f>'T-12'!K21</f>
        <v>0</v>
      </c>
      <c r="G59" s="55">
        <f>MIN(F59*(1+$G$50), D59*'Deal Summary'!O8)</f>
        <v>0</v>
      </c>
      <c r="H59" s="414">
        <f>G59*(1+H50)</f>
        <v>0</v>
      </c>
      <c r="I59" s="414">
        <f t="shared" ref="I59:R59" si="16">H59*(1+I50)</f>
        <v>0</v>
      </c>
      <c r="J59" s="414">
        <f t="shared" si="16"/>
        <v>0</v>
      </c>
      <c r="K59" s="414">
        <f t="shared" si="16"/>
        <v>0</v>
      </c>
      <c r="L59" s="414">
        <f t="shared" si="16"/>
        <v>0</v>
      </c>
      <c r="M59" s="414">
        <f t="shared" si="16"/>
        <v>0</v>
      </c>
      <c r="N59" s="414">
        <f t="shared" si="16"/>
        <v>0</v>
      </c>
      <c r="O59" s="414">
        <f t="shared" si="16"/>
        <v>0</v>
      </c>
      <c r="P59" s="414">
        <f t="shared" si="16"/>
        <v>0</v>
      </c>
      <c r="Q59" s="414">
        <f t="shared" si="16"/>
        <v>0</v>
      </c>
      <c r="R59" s="56">
        <f t="shared" si="16"/>
        <v>0</v>
      </c>
    </row>
    <row r="60" spans="3:18" x14ac:dyDescent="0.25">
      <c r="C60" s="164" t="s">
        <v>54</v>
      </c>
      <c r="D60" s="146">
        <v>0.3</v>
      </c>
      <c r="E60" s="480" t="str">
        <f>IFERROR(F60/RR!$O$15,"")</f>
        <v/>
      </c>
      <c r="F60" s="530">
        <f>'T-12'!K22</f>
        <v>0</v>
      </c>
      <c r="G60" s="55">
        <f>MIN(F60*(1+$G$50), -D60*G49/12)</f>
        <v>0</v>
      </c>
      <c r="H60" s="414">
        <f>G60*(1+H50)</f>
        <v>0</v>
      </c>
      <c r="I60" s="414">
        <f t="shared" ref="I60:R60" si="17">H60*(1+I50)</f>
        <v>0</v>
      </c>
      <c r="J60" s="414">
        <f t="shared" si="17"/>
        <v>0</v>
      </c>
      <c r="K60" s="414">
        <f t="shared" si="17"/>
        <v>0</v>
      </c>
      <c r="L60" s="414">
        <f t="shared" si="17"/>
        <v>0</v>
      </c>
      <c r="M60" s="414">
        <f t="shared" si="17"/>
        <v>0</v>
      </c>
      <c r="N60" s="414">
        <f t="shared" si="17"/>
        <v>0</v>
      </c>
      <c r="O60" s="414">
        <f t="shared" si="17"/>
        <v>0</v>
      </c>
      <c r="P60" s="414">
        <f t="shared" si="17"/>
        <v>0</v>
      </c>
      <c r="Q60" s="414">
        <f t="shared" si="17"/>
        <v>0</v>
      </c>
      <c r="R60" s="56">
        <f t="shared" si="17"/>
        <v>0</v>
      </c>
    </row>
    <row r="61" spans="3:18" x14ac:dyDescent="0.25">
      <c r="C61" s="164" t="s">
        <v>120</v>
      </c>
      <c r="D61" s="145">
        <f>-1250</f>
        <v>-1250</v>
      </c>
      <c r="E61" s="480" t="str">
        <f>IFERROR(F61/RR!$O$15,"")</f>
        <v/>
      </c>
      <c r="F61" s="530">
        <f>'T-12'!K23</f>
        <v>0</v>
      </c>
      <c r="G61" s="55">
        <f>MIN('Deal Summary'!O8*D60*D61, F61*(1+G50))</f>
        <v>0</v>
      </c>
      <c r="H61" s="414">
        <f>G61*(1+H50)</f>
        <v>0</v>
      </c>
      <c r="I61" s="414">
        <f t="shared" ref="I61:R61" si="18">H61*(1+I50)</f>
        <v>0</v>
      </c>
      <c r="J61" s="414">
        <f t="shared" si="18"/>
        <v>0</v>
      </c>
      <c r="K61" s="414">
        <f t="shared" si="18"/>
        <v>0</v>
      </c>
      <c r="L61" s="414">
        <f t="shared" si="18"/>
        <v>0</v>
      </c>
      <c r="M61" s="414">
        <f t="shared" si="18"/>
        <v>0</v>
      </c>
      <c r="N61" s="414">
        <f t="shared" si="18"/>
        <v>0</v>
      </c>
      <c r="O61" s="414">
        <f t="shared" si="18"/>
        <v>0</v>
      </c>
      <c r="P61" s="414">
        <f t="shared" si="18"/>
        <v>0</v>
      </c>
      <c r="Q61" s="414">
        <f t="shared" si="18"/>
        <v>0</v>
      </c>
      <c r="R61" s="56">
        <f t="shared" si="18"/>
        <v>0</v>
      </c>
    </row>
    <row r="62" spans="3:18" x14ac:dyDescent="0.25">
      <c r="C62" s="164" t="s">
        <v>55</v>
      </c>
      <c r="D62" s="145">
        <f>-250</f>
        <v>-250</v>
      </c>
      <c r="E62" s="480" t="str">
        <f>IFERROR(F62/RR!$O$15,"")</f>
        <v/>
      </c>
      <c r="F62" s="530">
        <f>'T-12'!K24</f>
        <v>0</v>
      </c>
      <c r="G62" s="55">
        <f>F62*(1+$G$50)</f>
        <v>0</v>
      </c>
      <c r="H62" s="414">
        <f>G62*(1+H50)</f>
        <v>0</v>
      </c>
      <c r="I62" s="414">
        <f t="shared" ref="I62:R62" si="19">H62*(1+I50)</f>
        <v>0</v>
      </c>
      <c r="J62" s="414">
        <f t="shared" si="19"/>
        <v>0</v>
      </c>
      <c r="K62" s="414">
        <f t="shared" si="19"/>
        <v>0</v>
      </c>
      <c r="L62" s="414">
        <f t="shared" si="19"/>
        <v>0</v>
      </c>
      <c r="M62" s="414">
        <f t="shared" si="19"/>
        <v>0</v>
      </c>
      <c r="N62" s="414">
        <f t="shared" si="19"/>
        <v>0</v>
      </c>
      <c r="O62" s="414">
        <f t="shared" si="19"/>
        <v>0</v>
      </c>
      <c r="P62" s="414">
        <f t="shared" si="19"/>
        <v>0</v>
      </c>
      <c r="Q62" s="414">
        <f t="shared" si="19"/>
        <v>0</v>
      </c>
      <c r="R62" s="56">
        <f t="shared" si="19"/>
        <v>0</v>
      </c>
    </row>
    <row r="63" spans="3:18" x14ac:dyDescent="0.25">
      <c r="C63" s="164" t="s">
        <v>90</v>
      </c>
      <c r="D63" s="64"/>
      <c r="E63" s="480" t="str">
        <f>IFERROR(F63/RR!$O$15,"")</f>
        <v/>
      </c>
      <c r="F63" s="530">
        <f>'T-12'!K25</f>
        <v>0</v>
      </c>
      <c r="G63" s="55">
        <f>F63*(1+$G$50)</f>
        <v>0</v>
      </c>
      <c r="H63" s="414">
        <f>G63*(1+H50)</f>
        <v>0</v>
      </c>
      <c r="I63" s="414">
        <f t="shared" ref="I63:R63" si="20">H63*(1+I50)</f>
        <v>0</v>
      </c>
      <c r="J63" s="414">
        <f t="shared" si="20"/>
        <v>0</v>
      </c>
      <c r="K63" s="414">
        <f t="shared" si="20"/>
        <v>0</v>
      </c>
      <c r="L63" s="414">
        <f t="shared" si="20"/>
        <v>0</v>
      </c>
      <c r="M63" s="414">
        <f t="shared" si="20"/>
        <v>0</v>
      </c>
      <c r="N63" s="414">
        <f t="shared" si="20"/>
        <v>0</v>
      </c>
      <c r="O63" s="414">
        <f t="shared" si="20"/>
        <v>0</v>
      </c>
      <c r="P63" s="414">
        <f t="shared" si="20"/>
        <v>0</v>
      </c>
      <c r="Q63" s="414">
        <f t="shared" si="20"/>
        <v>0</v>
      </c>
      <c r="R63" s="56">
        <f t="shared" si="20"/>
        <v>0</v>
      </c>
    </row>
    <row r="64" spans="3:18" x14ac:dyDescent="0.25">
      <c r="C64" s="164" t="s">
        <v>205</v>
      </c>
      <c r="D64" s="141">
        <v>0.03</v>
      </c>
      <c r="E64" s="480" t="str">
        <f>IFERROR(F64/RR!$O$15,"")</f>
        <v/>
      </c>
      <c r="F64" s="530">
        <f>'T-12'!K26</f>
        <v>0</v>
      </c>
      <c r="G64" s="55">
        <f>MIN(F64*(1+$G$50), -D64*G49)</f>
        <v>0</v>
      </c>
      <c r="H64" s="414">
        <f>G64*(1+H50)</f>
        <v>0</v>
      </c>
      <c r="I64" s="414">
        <f t="shared" ref="I64:R64" si="21">H64*(1+I50)</f>
        <v>0</v>
      </c>
      <c r="J64" s="414">
        <f t="shared" si="21"/>
        <v>0</v>
      </c>
      <c r="K64" s="414">
        <f t="shared" si="21"/>
        <v>0</v>
      </c>
      <c r="L64" s="414">
        <f t="shared" si="21"/>
        <v>0</v>
      </c>
      <c r="M64" s="414">
        <f t="shared" si="21"/>
        <v>0</v>
      </c>
      <c r="N64" s="414">
        <f t="shared" si="21"/>
        <v>0</v>
      </c>
      <c r="O64" s="414">
        <f t="shared" si="21"/>
        <v>0</v>
      </c>
      <c r="P64" s="414">
        <f t="shared" si="21"/>
        <v>0</v>
      </c>
      <c r="Q64" s="414">
        <f t="shared" si="21"/>
        <v>0</v>
      </c>
      <c r="R64" s="56">
        <f t="shared" si="21"/>
        <v>0</v>
      </c>
    </row>
    <row r="65" spans="3:19" x14ac:dyDescent="0.25">
      <c r="C65" s="164" t="s">
        <v>121</v>
      </c>
      <c r="D65" s="141">
        <v>0.01</v>
      </c>
      <c r="E65" s="480" t="str">
        <f>IFERROR(F65/RR!$O$15,"")</f>
        <v/>
      </c>
      <c r="F65" s="530">
        <f>'T-12'!K27</f>
        <v>0</v>
      </c>
      <c r="G65" s="55">
        <f>MIN(-D65*G49, F65*(1+G50))</f>
        <v>0</v>
      </c>
      <c r="H65" s="414">
        <f>G65*(1+H50)</f>
        <v>0</v>
      </c>
      <c r="I65" s="414">
        <f t="shared" ref="I65:R65" si="22">H65*(1+I50)</f>
        <v>0</v>
      </c>
      <c r="J65" s="414">
        <f t="shared" si="22"/>
        <v>0</v>
      </c>
      <c r="K65" s="414">
        <f t="shared" si="22"/>
        <v>0</v>
      </c>
      <c r="L65" s="414">
        <f t="shared" si="22"/>
        <v>0</v>
      </c>
      <c r="M65" s="414">
        <f t="shared" si="22"/>
        <v>0</v>
      </c>
      <c r="N65" s="414">
        <f t="shared" si="22"/>
        <v>0</v>
      </c>
      <c r="O65" s="414">
        <f t="shared" si="22"/>
        <v>0</v>
      </c>
      <c r="P65" s="414">
        <f t="shared" si="22"/>
        <v>0</v>
      </c>
      <c r="Q65" s="414">
        <f t="shared" si="22"/>
        <v>0</v>
      </c>
      <c r="R65" s="56">
        <f t="shared" si="22"/>
        <v>0</v>
      </c>
    </row>
    <row r="66" spans="3:19" ht="16.5" thickBot="1" x14ac:dyDescent="0.3">
      <c r="C66" s="160" t="s">
        <v>57</v>
      </c>
      <c r="D66" s="65"/>
      <c r="E66" s="480" t="str">
        <f>IFERROR(F66/RR!$O$15,"")</f>
        <v/>
      </c>
      <c r="F66" s="535">
        <f>SUM(F52:F65)</f>
        <v>0</v>
      </c>
      <c r="G66" s="95">
        <f>SUM(G52:G65)</f>
        <v>0</v>
      </c>
      <c r="H66" s="66">
        <f>SUM(H52:H65)</f>
        <v>0</v>
      </c>
      <c r="I66" s="66">
        <f>SUM(I52:I65)</f>
        <v>0</v>
      </c>
      <c r="J66" s="66">
        <f>SUM(J52:J65)</f>
        <v>0</v>
      </c>
      <c r="K66" s="66">
        <f>SUM(K52:K65)</f>
        <v>0</v>
      </c>
      <c r="L66" s="66">
        <f>SUM(L52:L65)</f>
        <v>0</v>
      </c>
      <c r="M66" s="66">
        <f>SUM(M52:M65)</f>
        <v>0</v>
      </c>
      <c r="N66" s="66">
        <f>SUM(N52:N65)</f>
        <v>0</v>
      </c>
      <c r="O66" s="66">
        <f>SUM(O52:O65)</f>
        <v>0</v>
      </c>
      <c r="P66" s="66">
        <f>SUM(P52:P65)</f>
        <v>0</v>
      </c>
      <c r="Q66" s="66">
        <f>SUM(Q52:Q65)</f>
        <v>0</v>
      </c>
      <c r="R66" s="125">
        <f>SUM(R52:R65)</f>
        <v>0</v>
      </c>
    </row>
    <row r="67" spans="3:19" ht="16.5" thickBot="1" x14ac:dyDescent="0.3">
      <c r="C67" s="166" t="s">
        <v>58</v>
      </c>
      <c r="D67" s="67"/>
      <c r="E67" s="481">
        <f>IFERROR(-E66/E49,0)</f>
        <v>0</v>
      </c>
      <c r="F67" s="538">
        <f>IFERROR(-F66/F49,0)</f>
        <v>0</v>
      </c>
      <c r="G67" s="335">
        <f>-IFERROR(G66/G49,0)</f>
        <v>0</v>
      </c>
      <c r="H67" s="68">
        <f>-IFERROR(H66/H49,0)</f>
        <v>0</v>
      </c>
      <c r="I67" s="68">
        <f>-IFERROR(I66/I49,0)</f>
        <v>0</v>
      </c>
      <c r="J67" s="68">
        <f>-IFERROR(J66/J49,0)</f>
        <v>0</v>
      </c>
      <c r="K67" s="68">
        <f>-IFERROR(K66/K49,0)</f>
        <v>0</v>
      </c>
      <c r="L67" s="68">
        <f>-IFERROR(L66/L49,0)</f>
        <v>0</v>
      </c>
      <c r="M67" s="68">
        <f>-IFERROR(M66/M49,0)</f>
        <v>0</v>
      </c>
      <c r="N67" s="68">
        <f>-IFERROR(N66/N49,0)</f>
        <v>0</v>
      </c>
      <c r="O67" s="68">
        <f>-IFERROR(O66/O49,0)</f>
        <v>0</v>
      </c>
      <c r="P67" s="68">
        <f>-IFERROR(P66/P49,0)</f>
        <v>0</v>
      </c>
      <c r="Q67" s="68">
        <f>-IFERROR(Q66/Q49,0)</f>
        <v>0</v>
      </c>
      <c r="R67" s="126">
        <f>-IFERROR(R66/R49,0)</f>
        <v>0</v>
      </c>
    </row>
    <row r="68" spans="3:19" ht="16.5" thickBot="1" x14ac:dyDescent="0.3">
      <c r="C68" s="163" t="s">
        <v>59</v>
      </c>
      <c r="D68" s="25"/>
      <c r="E68" s="480" t="str">
        <f>IFERROR(F68/RR!$O$15,"")</f>
        <v/>
      </c>
      <c r="F68" s="536">
        <f>F49+F66</f>
        <v>0</v>
      </c>
      <c r="G68" s="42">
        <f>G49+G66</f>
        <v>0</v>
      </c>
      <c r="H68" s="43">
        <f>H49+H66</f>
        <v>0</v>
      </c>
      <c r="I68" s="43">
        <f>I49+I66</f>
        <v>0</v>
      </c>
      <c r="J68" s="43">
        <f>J49+J66</f>
        <v>0</v>
      </c>
      <c r="K68" s="43">
        <f>K49+K66</f>
        <v>0</v>
      </c>
      <c r="L68" s="43">
        <f>L49+L66</f>
        <v>0</v>
      </c>
      <c r="M68" s="43">
        <f>M49+M66</f>
        <v>0</v>
      </c>
      <c r="N68" s="43">
        <f>N49+N66</f>
        <v>0</v>
      </c>
      <c r="O68" s="43">
        <f>O49+O66</f>
        <v>0</v>
      </c>
      <c r="P68" s="43">
        <f>P49+P66</f>
        <v>0</v>
      </c>
      <c r="Q68" s="43">
        <f>Q49+Q66</f>
        <v>0</v>
      </c>
      <c r="R68" s="44">
        <f>R49+R66</f>
        <v>0</v>
      </c>
    </row>
    <row r="69" spans="3:19" x14ac:dyDescent="0.25">
      <c r="C69" s="167" t="s">
        <v>60</v>
      </c>
      <c r="D69" s="69"/>
      <c r="E69" s="442"/>
      <c r="F69" s="539">
        <f>F68/J13</f>
        <v>0</v>
      </c>
      <c r="G69" s="70">
        <f>G68/($J$13)</f>
        <v>0</v>
      </c>
      <c r="H69" s="83">
        <f>H68/($J$13)</f>
        <v>0</v>
      </c>
      <c r="I69" s="83">
        <f>I68/($J$13)</f>
        <v>0</v>
      </c>
      <c r="J69" s="83">
        <f>J68/($J$13)</f>
        <v>0</v>
      </c>
      <c r="K69" s="83">
        <f>K68/($J$13)</f>
        <v>0</v>
      </c>
      <c r="L69" s="83">
        <f>L68/($J$13)</f>
        <v>0</v>
      </c>
      <c r="M69" s="83">
        <f>M68/($J$13)</f>
        <v>0</v>
      </c>
      <c r="N69" s="83">
        <f>N68/($J$13)</f>
        <v>0</v>
      </c>
      <c r="O69" s="83">
        <f>O68/($J$13)</f>
        <v>0</v>
      </c>
      <c r="P69" s="83">
        <f>P68/($J$13)</f>
        <v>0</v>
      </c>
      <c r="Q69" s="83">
        <f>Q68/($J$13)</f>
        <v>0</v>
      </c>
      <c r="R69" s="127">
        <f>R68/($J$13)</f>
        <v>0</v>
      </c>
    </row>
    <row r="70" spans="3:19" x14ac:dyDescent="0.25">
      <c r="C70" s="168" t="s">
        <v>61</v>
      </c>
      <c r="D70" s="145">
        <f>-500</f>
        <v>-500</v>
      </c>
      <c r="E70" s="435"/>
      <c r="F70" s="530"/>
      <c r="G70" s="55">
        <f>D70*'Deal Summary'!O8</f>
        <v>0</v>
      </c>
      <c r="H70" s="120">
        <f>G70*(1+H50)</f>
        <v>0</v>
      </c>
      <c r="I70" s="120">
        <f>H70*(1+I50)</f>
        <v>0</v>
      </c>
      <c r="J70" s="120">
        <f>I70*(1+J50)</f>
        <v>0</v>
      </c>
      <c r="K70" s="120">
        <f>J70*(1+K50)</f>
        <v>0</v>
      </c>
      <c r="L70" s="120">
        <f>K70*(1+L50)</f>
        <v>0</v>
      </c>
      <c r="M70" s="120">
        <f>L70*(1+M50)</f>
        <v>0</v>
      </c>
      <c r="N70" s="120">
        <f>M70*(1+N50)</f>
        <v>0</v>
      </c>
      <c r="O70" s="120">
        <f>N70*(1+O50)</f>
        <v>0</v>
      </c>
      <c r="P70" s="120">
        <f>O70*(1+P50)</f>
        <v>0</v>
      </c>
      <c r="Q70" s="120">
        <f>P70*(1+Q50)</f>
        <v>0</v>
      </c>
      <c r="R70" s="56">
        <f>Q70*(1+R50)</f>
        <v>0</v>
      </c>
    </row>
    <row r="71" spans="3:19" ht="16.5" thickBot="1" x14ac:dyDescent="0.3">
      <c r="C71" s="169" t="s">
        <v>62</v>
      </c>
      <c r="D71" s="71"/>
      <c r="E71" s="443"/>
      <c r="F71" s="540"/>
      <c r="G71" s="72">
        <f>(G68+G70)/$J$13</f>
        <v>0</v>
      </c>
      <c r="H71" s="84">
        <f>(H68+H70)/$J$13</f>
        <v>0</v>
      </c>
      <c r="I71" s="84">
        <f>(I68+I70)/$J$13</f>
        <v>0</v>
      </c>
      <c r="J71" s="84">
        <f>(J68+J70)/$J$13</f>
        <v>0</v>
      </c>
      <c r="K71" s="84">
        <f>(K68+K70)/$J$13</f>
        <v>0</v>
      </c>
      <c r="L71" s="84">
        <f>(L68+L70)/$J$13</f>
        <v>0</v>
      </c>
      <c r="M71" s="84">
        <f>(M68+M70)/$J$13</f>
        <v>0</v>
      </c>
      <c r="N71" s="84">
        <f>(N68+N70)/$J$13</f>
        <v>0</v>
      </c>
      <c r="O71" s="84">
        <f>(O68+O70)/$J$13</f>
        <v>0</v>
      </c>
      <c r="P71" s="84">
        <f>(P68+P70)/$J$13</f>
        <v>0</v>
      </c>
      <c r="Q71" s="84">
        <f>(Q68+Q70)/$J$13</f>
        <v>0</v>
      </c>
      <c r="R71" s="128">
        <f>(R68+R70)/$J$13</f>
        <v>0</v>
      </c>
    </row>
    <row r="72" spans="3:19" x14ac:dyDescent="0.25">
      <c r="C72" s="160" t="s">
        <v>63</v>
      </c>
      <c r="D72" s="141">
        <f>IF(G8-0.01&lt;0,0,G8-0.01)</f>
        <v>0</v>
      </c>
      <c r="E72" s="437"/>
      <c r="F72" s="532"/>
      <c r="G72" s="129" t="str">
        <f>IFERROR(IF($R$20=G24,H68/$D$72,""),0)</f>
        <v/>
      </c>
      <c r="H72" s="73" t="str">
        <f>IFERROR(IF($R$20=H24,I68/$D$72,""),0)</f>
        <v/>
      </c>
      <c r="I72" s="73" t="str">
        <f>IFERROR(IF($R$20=I24,J68/$D$72,""),0)</f>
        <v/>
      </c>
      <c r="J72" s="73" t="str">
        <f>IFERROR(IF($R$20=J24,K68/$D$72,""),0)</f>
        <v/>
      </c>
      <c r="K72" s="73" t="str">
        <f>IFERROR(IF($R$20=K24,L68/$D$72,""),0)</f>
        <v/>
      </c>
      <c r="L72" s="73">
        <f>IFERROR(IF($R$20=L24,M68/$D$72,""),0)</f>
        <v>0</v>
      </c>
      <c r="M72" s="73" t="str">
        <f>IFERROR(IF($R$20=M24,N68/$D$72,""),0)</f>
        <v/>
      </c>
      <c r="N72" s="73" t="str">
        <f>IFERROR(IF($R$20=N24,O68/$D$72,""),0)</f>
        <v/>
      </c>
      <c r="O72" s="73" t="str">
        <f>IFERROR(IF($R$20=O24,P68/$D$72,""),0)</f>
        <v/>
      </c>
      <c r="P72" s="73" t="str">
        <f>IFERROR(IF($R$20=P24,Q68/$D$72,""),0)</f>
        <v/>
      </c>
      <c r="Q72" s="73" t="str">
        <f>IFERROR(IF($R$20=Q24,R68/$D$72,""),0)</f>
        <v/>
      </c>
      <c r="R72" s="130" t="str">
        <f>IFERROR(IF($R$20=R24,S68/$D$72,""),0)</f>
        <v/>
      </c>
    </row>
    <row r="73" spans="3:19" ht="16.5" thickBot="1" x14ac:dyDescent="0.3">
      <c r="C73" s="160" t="s">
        <v>64</v>
      </c>
      <c r="D73" s="141">
        <v>0.06</v>
      </c>
      <c r="E73" s="439"/>
      <c r="F73" s="535"/>
      <c r="G73" s="49" t="str">
        <f>IFERROR(-$D$73*G72,"")</f>
        <v/>
      </c>
      <c r="H73" s="50" t="str">
        <f>IFERROR(-$D$73*H72,"")</f>
        <v/>
      </c>
      <c r="I73" s="50"/>
      <c r="J73" s="50" t="str">
        <f t="shared" ref="J73:R73" si="23">IFERROR(-$D$73*J72,"")</f>
        <v/>
      </c>
      <c r="K73" s="50" t="str">
        <f t="shared" si="23"/>
        <v/>
      </c>
      <c r="L73" s="50">
        <f t="shared" si="23"/>
        <v>0</v>
      </c>
      <c r="M73" s="50" t="str">
        <f t="shared" si="23"/>
        <v/>
      </c>
      <c r="N73" s="50" t="str">
        <f t="shared" si="23"/>
        <v/>
      </c>
      <c r="O73" s="50" t="str">
        <f t="shared" si="23"/>
        <v/>
      </c>
      <c r="P73" s="50" t="str">
        <f t="shared" si="23"/>
        <v/>
      </c>
      <c r="Q73" s="50" t="str">
        <f t="shared" si="23"/>
        <v/>
      </c>
      <c r="R73" s="122" t="str">
        <f t="shared" si="23"/>
        <v/>
      </c>
    </row>
    <row r="74" spans="3:19" ht="16.5" thickBot="1" x14ac:dyDescent="0.3">
      <c r="C74" s="163" t="s">
        <v>150</v>
      </c>
      <c r="D74" s="197"/>
      <c r="E74" s="440"/>
      <c r="F74" s="536">
        <f>F68</f>
        <v>0</v>
      </c>
      <c r="G74" s="42">
        <f>-SUM(G29:G31)+G68+G70+SUM(G72:G73)+J14</f>
        <v>-40000</v>
      </c>
      <c r="H74" s="43">
        <f t="shared" ref="H74:R74" si="24">H68+H70+SUM(H72:H73)</f>
        <v>0</v>
      </c>
      <c r="I74" s="43">
        <f t="shared" si="24"/>
        <v>0</v>
      </c>
      <c r="J74" s="43">
        <f t="shared" si="24"/>
        <v>0</v>
      </c>
      <c r="K74" s="43">
        <f t="shared" si="24"/>
        <v>0</v>
      </c>
      <c r="L74" s="43">
        <f t="shared" si="24"/>
        <v>0</v>
      </c>
      <c r="M74" s="43">
        <f t="shared" si="24"/>
        <v>0</v>
      </c>
      <c r="N74" s="43">
        <f t="shared" si="24"/>
        <v>0</v>
      </c>
      <c r="O74" s="43">
        <f t="shared" si="24"/>
        <v>0</v>
      </c>
      <c r="P74" s="43">
        <f t="shared" si="24"/>
        <v>0</v>
      </c>
      <c r="Q74" s="43">
        <f t="shared" si="24"/>
        <v>0</v>
      </c>
      <c r="R74" s="44">
        <f t="shared" si="24"/>
        <v>0</v>
      </c>
    </row>
    <row r="75" spans="3:19" ht="16.5" thickBot="1" x14ac:dyDescent="0.3">
      <c r="C75" s="170"/>
      <c r="D75" s="174"/>
      <c r="E75" s="441"/>
      <c r="F75" s="537"/>
      <c r="G75" s="10"/>
      <c r="R75" s="37"/>
    </row>
    <row r="76" spans="3:19" x14ac:dyDescent="0.25">
      <c r="C76" s="212" t="s">
        <v>65</v>
      </c>
      <c r="D76" s="74"/>
      <c r="E76" s="441"/>
      <c r="F76" s="537"/>
      <c r="G76" s="131">
        <f>IF(G24=$P$7,$P$16,0)</f>
        <v>0</v>
      </c>
      <c r="H76" s="73">
        <f>IF(H24=$P$19,$R$15,0)</f>
        <v>0</v>
      </c>
      <c r="I76" s="73">
        <f>IF(I24=$P$19,$R$15,0)</f>
        <v>0</v>
      </c>
      <c r="J76" s="73">
        <f>IF(J24=$P$19,$R$15,0)</f>
        <v>0</v>
      </c>
      <c r="K76" s="73">
        <f>IF(K24=$P$19,$R$15,0)</f>
        <v>0</v>
      </c>
      <c r="L76" s="73">
        <f>IF(L24=$P$19,$R$15,0)</f>
        <v>0</v>
      </c>
      <c r="M76" s="73">
        <f>IF(M24=$P$19,$R$15,0)</f>
        <v>0</v>
      </c>
      <c r="N76" s="73">
        <f>IF(N24=$P$19,$R$15,0)</f>
        <v>0</v>
      </c>
      <c r="O76" s="73">
        <f>IF(O24=$P$19,$R$15,0)</f>
        <v>0</v>
      </c>
      <c r="P76" s="73">
        <f>IF(P24=$P$19,$R$15,0)</f>
        <v>0</v>
      </c>
      <c r="Q76" s="73">
        <f>IF(Q24=$P$19,$R$15,0)</f>
        <v>0</v>
      </c>
      <c r="R76" s="130">
        <f>IF(R24=$P$19,$R$15,0)</f>
        <v>0</v>
      </c>
      <c r="S76" s="48"/>
    </row>
    <row r="77" spans="3:19" x14ac:dyDescent="0.25">
      <c r="C77" s="213" t="s">
        <v>66</v>
      </c>
      <c r="D77" s="75"/>
      <c r="E77" s="435"/>
      <c r="F77" s="530"/>
      <c r="G77" s="61">
        <f>G74+G76</f>
        <v>-40000</v>
      </c>
      <c r="H77" s="62"/>
      <c r="I77" s="62"/>
      <c r="J77" s="62"/>
      <c r="K77" s="62"/>
      <c r="L77" s="62"/>
      <c r="M77" s="62"/>
      <c r="N77" s="62"/>
      <c r="O77" s="62"/>
      <c r="P77" s="62"/>
      <c r="Q77" s="62"/>
      <c r="R77" s="124"/>
      <c r="S77" s="62"/>
    </row>
    <row r="78" spans="3:19" x14ac:dyDescent="0.25">
      <c r="C78" s="213" t="s">
        <v>67</v>
      </c>
      <c r="D78" s="75"/>
      <c r="E78" s="435"/>
      <c r="F78" s="530"/>
      <c r="G78" s="61">
        <f>G76+D84</f>
        <v>0</v>
      </c>
      <c r="H78" s="62">
        <f>H76+G84</f>
        <v>0</v>
      </c>
      <c r="I78" s="62">
        <f t="shared" ref="I78:R78" si="25">I76+H84</f>
        <v>0</v>
      </c>
      <c r="J78" s="62">
        <f t="shared" si="25"/>
        <v>0</v>
      </c>
      <c r="K78" s="62">
        <f t="shared" si="25"/>
        <v>0</v>
      </c>
      <c r="L78" s="62">
        <f t="shared" si="25"/>
        <v>0</v>
      </c>
      <c r="M78" s="62">
        <f>M76+L84</f>
        <v>0</v>
      </c>
      <c r="N78" s="62">
        <f t="shared" si="25"/>
        <v>0</v>
      </c>
      <c r="O78" s="62">
        <f t="shared" si="25"/>
        <v>0</v>
      </c>
      <c r="P78" s="62">
        <f>P76+O84</f>
        <v>0</v>
      </c>
      <c r="Q78" s="62">
        <f t="shared" si="25"/>
        <v>0</v>
      </c>
      <c r="R78" s="124">
        <f t="shared" si="25"/>
        <v>0</v>
      </c>
      <c r="S78" s="62"/>
    </row>
    <row r="79" spans="3:19" x14ac:dyDescent="0.25">
      <c r="C79" s="213" t="s">
        <v>68</v>
      </c>
      <c r="D79" s="75"/>
      <c r="E79" s="435"/>
      <c r="F79" s="530"/>
      <c r="G79" s="61">
        <f>IFERROR(IF(G78&gt;0,-PPMT($P$13/12,G24,$P$17,$P$16,,0)*12,0),0)</f>
        <v>0</v>
      </c>
      <c r="H79" s="62">
        <f>IFERROR(IF(H78&gt;0,-PPMT($P$13/12,H24,$P$17,$P$16,,0)*12,0),0)</f>
        <v>0</v>
      </c>
      <c r="I79" s="62">
        <f>IFERROR(IF(I78&gt;0,-PPMT($P$13/12,I24,$P$17,$P$16,,0)*12,0),0)</f>
        <v>0</v>
      </c>
      <c r="J79" s="62">
        <f>IFERROR(IF(J78&gt;0,-PPMT($P$13/12,J24,$P$17,$P$16,,0)*12,0),0)</f>
        <v>0</v>
      </c>
      <c r="K79" s="62">
        <f>IFERROR(IF(K78&gt;0,-PPMT($P$13/12,K24,$P$17,$P$16,,0)*12,0),0)</f>
        <v>0</v>
      </c>
      <c r="L79" s="62">
        <f>IFERROR(IF(L78&gt;0,-PPMT($P$13/12,L24,$P$17,$P$16,,0)*12,0),0)</f>
        <v>0</v>
      </c>
      <c r="M79" s="62">
        <f>IFERROR(IF(M78&gt;0,-PPMT($P$13/12,M24,$P$17,$P$16,,0)*12,0),0)</f>
        <v>0</v>
      </c>
      <c r="N79" s="62">
        <f>IFERROR(IF(N78&gt;0,-PPMT($P$13/12,N24,$P$17,$P$16,,0)*12,0),0)</f>
        <v>0</v>
      </c>
      <c r="O79" s="62">
        <f>IFERROR(IF(O78&gt;0,-PPMT($P$13/12,O24,$P$17,$P$16,,0)*12,0),0)</f>
        <v>0</v>
      </c>
      <c r="P79" s="62">
        <f>IFERROR(IF(P78&gt;0,-PPMT($P$13/12,P24,$P$17,$P$16,,0)*12,0),0)</f>
        <v>0</v>
      </c>
      <c r="Q79" s="62">
        <f>IFERROR(IF(Q78&gt;0,-PPMT($P$13/12,Q24,$P$17,$P$16,,0)*12,0),0)</f>
        <v>0</v>
      </c>
      <c r="R79" s="124">
        <f>IFERROR(IF(R78&gt;0,-PPMT($P$13/12,R24,$P$17,$P$16,,0)*12,0),0)</f>
        <v>0</v>
      </c>
      <c r="S79" s="62"/>
    </row>
    <row r="80" spans="3:19" x14ac:dyDescent="0.25">
      <c r="C80" s="213" t="s">
        <v>69</v>
      </c>
      <c r="D80" s="75"/>
      <c r="E80" s="435"/>
      <c r="F80" s="530"/>
      <c r="G80" s="61">
        <f>G81-G79</f>
        <v>0</v>
      </c>
      <c r="H80" s="62">
        <f t="shared" ref="H80:P80" si="26">H81-H79</f>
        <v>0</v>
      </c>
      <c r="I80" s="62">
        <f t="shared" si="26"/>
        <v>0</v>
      </c>
      <c r="J80" s="62">
        <f t="shared" si="26"/>
        <v>0</v>
      </c>
      <c r="K80" s="62">
        <f t="shared" si="26"/>
        <v>0</v>
      </c>
      <c r="L80" s="62">
        <f t="shared" si="26"/>
        <v>0</v>
      </c>
      <c r="M80" s="62">
        <f t="shared" si="26"/>
        <v>0</v>
      </c>
      <c r="N80" s="62">
        <f t="shared" si="26"/>
        <v>0</v>
      </c>
      <c r="O80" s="62">
        <f t="shared" si="26"/>
        <v>0</v>
      </c>
      <c r="P80" s="62">
        <f t="shared" si="26"/>
        <v>0</v>
      </c>
      <c r="Q80" s="62"/>
      <c r="R80" s="124"/>
      <c r="S80" s="62"/>
    </row>
    <row r="81" spans="3:19" x14ac:dyDescent="0.25">
      <c r="C81" s="213" t="s">
        <v>30</v>
      </c>
      <c r="D81" s="75"/>
      <c r="E81" s="435"/>
      <c r="F81" s="530"/>
      <c r="G81" s="132">
        <f>IF(G24&lt;$R$8,-$P$18,-$R$17)</f>
        <v>0</v>
      </c>
      <c r="H81" s="89">
        <f>IF(H24&lt;$R$8,-$P$18,-$R$17)</f>
        <v>0</v>
      </c>
      <c r="I81" s="89">
        <f>IF(I24&lt;$R$8,-$P$18,-$R$17)</f>
        <v>0</v>
      </c>
      <c r="J81" s="89">
        <f>IF(J24&lt;$R$8,-$P$18,-$R$17)</f>
        <v>0</v>
      </c>
      <c r="K81" s="89">
        <f>IF(K24&lt;$R$8,-$P$18,-$R$17)</f>
        <v>0</v>
      </c>
      <c r="L81" s="89">
        <f>IF(L24&lt;$R$8,-$P$18,-$R$17)</f>
        <v>0</v>
      </c>
      <c r="M81" s="89">
        <f>IF(M24&lt;$R$8,-$P$18,-$R$17)</f>
        <v>0</v>
      </c>
      <c r="N81" s="89">
        <f>IF(N24&lt;$R$8,-$P$18,-$R$17)</f>
        <v>0</v>
      </c>
      <c r="O81" s="89">
        <f>IF(O24&lt;$R$8,-$P$18,-$R$17)</f>
        <v>0</v>
      </c>
      <c r="P81" s="89">
        <f>IF(P24&lt;$R$8,-$P$18,-$R$17)</f>
        <v>0</v>
      </c>
      <c r="Q81" s="89">
        <f>IF(Q24&lt;$R$8,-$P$18,-$R$17)</f>
        <v>0</v>
      </c>
      <c r="R81" s="133">
        <f>IF(R24&lt;$R$8,-$P$18,-$R$17)</f>
        <v>0</v>
      </c>
      <c r="S81" s="48"/>
    </row>
    <row r="82" spans="3:19" x14ac:dyDescent="0.25">
      <c r="C82" s="214" t="s">
        <v>70</v>
      </c>
      <c r="D82" s="76"/>
      <c r="E82" s="444"/>
      <c r="F82" s="541"/>
      <c r="G82" s="134">
        <f t="shared" ref="G82:R82" si="27">IFERROR((G68-G70)/G81,0)</f>
        <v>0</v>
      </c>
      <c r="H82" s="77">
        <f t="shared" si="27"/>
        <v>0</v>
      </c>
      <c r="I82" s="77">
        <f t="shared" si="27"/>
        <v>0</v>
      </c>
      <c r="J82" s="77">
        <f t="shared" si="27"/>
        <v>0</v>
      </c>
      <c r="K82" s="77">
        <f t="shared" si="27"/>
        <v>0</v>
      </c>
      <c r="L82" s="77">
        <f t="shared" si="27"/>
        <v>0</v>
      </c>
      <c r="M82" s="77">
        <f t="shared" si="27"/>
        <v>0</v>
      </c>
      <c r="N82" s="77">
        <f t="shared" si="27"/>
        <v>0</v>
      </c>
      <c r="O82" s="77">
        <f t="shared" si="27"/>
        <v>0</v>
      </c>
      <c r="P82" s="77">
        <f t="shared" si="27"/>
        <v>0</v>
      </c>
      <c r="Q82" s="77">
        <f t="shared" si="27"/>
        <v>0</v>
      </c>
      <c r="R82" s="135">
        <f t="shared" si="27"/>
        <v>0</v>
      </c>
      <c r="S82" s="77"/>
    </row>
    <row r="83" spans="3:19" x14ac:dyDescent="0.25">
      <c r="C83" s="213" t="s">
        <v>71</v>
      </c>
      <c r="D83" s="75"/>
      <c r="E83" s="435"/>
      <c r="F83" s="530"/>
      <c r="G83" s="61">
        <f>IF(G76&gt;0,MIN(G76,F84),IF(G74&gt;G78,MIN(G74,G78-G79),0))</f>
        <v>0</v>
      </c>
      <c r="H83" s="62">
        <f t="shared" ref="H83:R83" si="28">IF(H76&gt;0,MIN(H76,G84),IF(H74&gt;H78,MIN(H74,H78-H79),0))</f>
        <v>0</v>
      </c>
      <c r="I83" s="62">
        <f t="shared" si="28"/>
        <v>0</v>
      </c>
      <c r="J83" s="62">
        <f t="shared" si="28"/>
        <v>0</v>
      </c>
      <c r="K83" s="62">
        <f t="shared" si="28"/>
        <v>0</v>
      </c>
      <c r="L83" s="62">
        <f t="shared" si="28"/>
        <v>0</v>
      </c>
      <c r="M83" s="62">
        <f t="shared" si="28"/>
        <v>0</v>
      </c>
      <c r="N83" s="62">
        <f t="shared" si="28"/>
        <v>0</v>
      </c>
      <c r="O83" s="62">
        <f t="shared" si="28"/>
        <v>0</v>
      </c>
      <c r="P83" s="62">
        <f t="shared" si="28"/>
        <v>0</v>
      </c>
      <c r="Q83" s="62">
        <f t="shared" si="28"/>
        <v>0</v>
      </c>
      <c r="R83" s="124">
        <f t="shared" si="28"/>
        <v>0</v>
      </c>
      <c r="S83" s="62"/>
    </row>
    <row r="84" spans="3:19" ht="16.5" thickBot="1" x14ac:dyDescent="0.3">
      <c r="C84" s="213" t="s">
        <v>72</v>
      </c>
      <c r="D84" s="75"/>
      <c r="E84" s="436"/>
      <c r="F84" s="531">
        <v>0</v>
      </c>
      <c r="G84" s="58">
        <f>F84+G76-G79-G83</f>
        <v>0</v>
      </c>
      <c r="H84" s="62">
        <f t="shared" ref="H84:R84" si="29">G84+H76-H79-H83</f>
        <v>0</v>
      </c>
      <c r="I84" s="59">
        <f t="shared" si="29"/>
        <v>0</v>
      </c>
      <c r="J84" s="59">
        <f t="shared" si="29"/>
        <v>0</v>
      </c>
      <c r="K84" s="62">
        <f t="shared" si="29"/>
        <v>0</v>
      </c>
      <c r="L84" s="59">
        <f t="shared" si="29"/>
        <v>0</v>
      </c>
      <c r="M84" s="59">
        <f t="shared" si="29"/>
        <v>0</v>
      </c>
      <c r="N84" s="59">
        <f t="shared" si="29"/>
        <v>0</v>
      </c>
      <c r="O84" s="59">
        <f t="shared" si="29"/>
        <v>0</v>
      </c>
      <c r="P84" s="59">
        <f t="shared" si="29"/>
        <v>0</v>
      </c>
      <c r="Q84" s="59">
        <f t="shared" si="29"/>
        <v>0</v>
      </c>
      <c r="R84" s="60">
        <f t="shared" si="29"/>
        <v>0</v>
      </c>
      <c r="S84" s="62"/>
    </row>
    <row r="85" spans="3:19" ht="16.5" thickBot="1" x14ac:dyDescent="0.3">
      <c r="C85" s="215" t="s">
        <v>143</v>
      </c>
      <c r="D85" s="78"/>
      <c r="E85" s="440"/>
      <c r="F85" s="536"/>
      <c r="G85" s="42">
        <f>G74+G76-G81-G83-J14</f>
        <v>-40000</v>
      </c>
      <c r="H85" s="43">
        <f>H74+H76-H81-H83</f>
        <v>0</v>
      </c>
      <c r="I85" s="43">
        <f>I74+I76-I81-I83</f>
        <v>0</v>
      </c>
      <c r="J85" s="43">
        <f t="shared" ref="J85:O85" si="30">J74+J76-J81-J83</f>
        <v>0</v>
      </c>
      <c r="K85" s="43">
        <f t="shared" si="30"/>
        <v>0</v>
      </c>
      <c r="L85" s="43">
        <f t="shared" si="30"/>
        <v>0</v>
      </c>
      <c r="M85" s="43">
        <f t="shared" si="30"/>
        <v>0</v>
      </c>
      <c r="N85" s="43">
        <f>N74+N76-N81-N83</f>
        <v>0</v>
      </c>
      <c r="O85" s="43">
        <f t="shared" si="30"/>
        <v>0</v>
      </c>
      <c r="P85" s="43">
        <f>P74+P76-P81-P83</f>
        <v>0</v>
      </c>
      <c r="Q85" s="43">
        <f t="shared" ref="Q85:R85" si="31">Q74+Q76-Q81-Q83</f>
        <v>0</v>
      </c>
      <c r="R85" s="44">
        <f t="shared" si="31"/>
        <v>0</v>
      </c>
      <c r="S85" s="62"/>
    </row>
    <row r="86" spans="3:19" ht="16.5" thickBot="1" x14ac:dyDescent="0.3">
      <c r="C86" s="98"/>
      <c r="D86" s="99"/>
      <c r="E86" s="100"/>
      <c r="F86" s="151"/>
      <c r="G86" s="116"/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136"/>
      <c r="S86" s="62"/>
    </row>
    <row r="87" spans="3:19" ht="15.75" customHeight="1" thickBot="1" x14ac:dyDescent="0.3">
      <c r="C87" s="163" t="s">
        <v>97</v>
      </c>
      <c r="D87" s="172"/>
      <c r="E87" s="101"/>
      <c r="F87" s="152"/>
      <c r="G87" s="137"/>
      <c r="H87" s="102">
        <f>-($N$20*(1+H50)^H24)*H34</f>
        <v>0</v>
      </c>
      <c r="I87" s="102">
        <f>-($N$20*(1+I50)^I24)*I34</f>
        <v>0</v>
      </c>
      <c r="J87" s="102">
        <f>-($N$20*(1+J50)^J24)*J34</f>
        <v>0</v>
      </c>
      <c r="K87" s="102">
        <f>-($N$20*(1+K50)^K24)*K34</f>
        <v>0</v>
      </c>
      <c r="L87" s="102">
        <f>-($N$20*(1+L50)^L24)*L34</f>
        <v>0</v>
      </c>
      <c r="M87" s="102">
        <f>-($N$20*(1+M50)^M24)*M34</f>
        <v>0</v>
      </c>
      <c r="N87" s="102">
        <f>-($N$20*(1+N50)^N24)*N34</f>
        <v>0</v>
      </c>
      <c r="O87" s="102">
        <f>-($N$20*(1+O50)^O24)*O34</f>
        <v>0</v>
      </c>
      <c r="P87" s="102">
        <f>-($N$20*(1+P50)^P24)*P34</f>
        <v>0</v>
      </c>
      <c r="Q87" s="102">
        <f>-($N$20*(1+Q50)^Q24)*Q34</f>
        <v>0</v>
      </c>
      <c r="R87" s="489">
        <f>-($N$20*(1+R50)^R24)*R34</f>
        <v>0</v>
      </c>
      <c r="S87" s="62"/>
    </row>
    <row r="88" spans="3:19" ht="19.5" thickBot="1" x14ac:dyDescent="0.35">
      <c r="C88" s="163" t="s">
        <v>151</v>
      </c>
      <c r="D88" s="208">
        <f ca="1">IFERROR(IRR(OFFSET(G88,0,0,1,$R$20)), 0)</f>
        <v>0</v>
      </c>
      <c r="E88" s="153"/>
      <c r="F88" s="154"/>
      <c r="G88" s="199">
        <f>G74</f>
        <v>-40000</v>
      </c>
      <c r="H88" s="200">
        <f>H74+H87</f>
        <v>0</v>
      </c>
      <c r="I88" s="200">
        <f>I74+I87</f>
        <v>0</v>
      </c>
      <c r="J88" s="200">
        <f>J74+J87</f>
        <v>0</v>
      </c>
      <c r="K88" s="200">
        <f>K74+K87</f>
        <v>0</v>
      </c>
      <c r="L88" s="200">
        <f>L74+L87</f>
        <v>0</v>
      </c>
      <c r="M88" s="200">
        <f>M74+M87</f>
        <v>0</v>
      </c>
      <c r="N88" s="200">
        <f>N74+N87</f>
        <v>0</v>
      </c>
      <c r="O88" s="200">
        <f>O74+O87</f>
        <v>0</v>
      </c>
      <c r="P88" s="200">
        <f>P74+P87</f>
        <v>0</v>
      </c>
      <c r="Q88" s="200">
        <f>Q74+Q87</f>
        <v>0</v>
      </c>
      <c r="R88" s="201">
        <f>R74+R87</f>
        <v>0</v>
      </c>
      <c r="S88" s="62"/>
    </row>
    <row r="89" spans="3:19" ht="9.75" customHeight="1" thickBot="1" x14ac:dyDescent="0.35">
      <c r="C89" s="196"/>
      <c r="D89" s="209"/>
      <c r="E89" s="198"/>
      <c r="F89" s="190"/>
      <c r="G89" s="202"/>
      <c r="H89" s="203"/>
      <c r="I89" s="203"/>
      <c r="J89" s="203"/>
      <c r="K89" s="203"/>
      <c r="L89" s="203"/>
      <c r="M89" s="203"/>
      <c r="N89" s="203"/>
      <c r="O89" s="203"/>
      <c r="P89" s="203"/>
      <c r="Q89" s="203"/>
      <c r="R89" s="204"/>
      <c r="S89" s="62"/>
    </row>
    <row r="90" spans="3:19" ht="19.5" thickBot="1" x14ac:dyDescent="0.35">
      <c r="C90" s="163" t="s">
        <v>148</v>
      </c>
      <c r="D90" s="210">
        <f ca="1">IFERROR(IRR(OFFSET(G90,0,0,1,$R$20)), 0)</f>
        <v>0</v>
      </c>
      <c r="E90" s="191"/>
      <c r="F90" s="192"/>
      <c r="G90" s="205">
        <f>G85+G87</f>
        <v>-40000</v>
      </c>
      <c r="H90" s="206">
        <f>H85+H87</f>
        <v>0</v>
      </c>
      <c r="I90" s="206">
        <f>I85+I87</f>
        <v>0</v>
      </c>
      <c r="J90" s="206">
        <f>J85+J87</f>
        <v>0</v>
      </c>
      <c r="K90" s="206">
        <f>K85+K87</f>
        <v>0</v>
      </c>
      <c r="L90" s="206">
        <f>L85+L87</f>
        <v>0</v>
      </c>
      <c r="M90" s="206">
        <f>M85+M87</f>
        <v>0</v>
      </c>
      <c r="N90" s="206">
        <f>N85+N87</f>
        <v>0</v>
      </c>
      <c r="O90" s="206">
        <f>O85+O87</f>
        <v>0</v>
      </c>
      <c r="P90" s="206">
        <f>P85+P87</f>
        <v>0</v>
      </c>
      <c r="Q90" s="206">
        <f>Q85+Q87</f>
        <v>0</v>
      </c>
      <c r="R90" s="207">
        <f>R85+R87</f>
        <v>0</v>
      </c>
      <c r="S90" s="62"/>
    </row>
    <row r="91" spans="3:19" ht="8.25" customHeight="1" thickBot="1" x14ac:dyDescent="0.3">
      <c r="C91" s="10"/>
      <c r="D91" s="490"/>
      <c r="E91" s="354"/>
      <c r="F91" s="354"/>
      <c r="G91" s="354"/>
      <c r="H91" s="354"/>
      <c r="I91" s="354"/>
      <c r="J91" s="354"/>
      <c r="K91" s="354"/>
      <c r="L91" s="354"/>
      <c r="M91" s="354"/>
      <c r="N91" s="354"/>
      <c r="O91" s="354"/>
      <c r="P91" s="354"/>
      <c r="Q91" s="354"/>
      <c r="R91" s="37"/>
    </row>
    <row r="92" spans="3:19" ht="16.5" thickBot="1" x14ac:dyDescent="0.3">
      <c r="C92" s="171" t="s">
        <v>129</v>
      </c>
      <c r="D92" s="193"/>
      <c r="E92" s="194"/>
      <c r="F92" s="194">
        <f>F85/$J$19</f>
        <v>0</v>
      </c>
      <c r="G92" s="194">
        <f>(G68+G70-G80)/($J$19+SUM($G$87:G87))</f>
        <v>0</v>
      </c>
      <c r="H92" s="194">
        <f>(H85/($J$19+SUM($G$87:H87)))</f>
        <v>0</v>
      </c>
      <c r="I92" s="194">
        <f>(I85/($J$19+SUM($G$87:I87)))</f>
        <v>0</v>
      </c>
      <c r="J92" s="194">
        <f>(J85/($J$19+SUM($G$87:J87)))</f>
        <v>0</v>
      </c>
      <c r="K92" s="194">
        <f>(K85/($J$19+SUM($G$87:K87)))</f>
        <v>0</v>
      </c>
      <c r="L92" s="194">
        <f>(L85/($J$19+SUM($G$87:L87)))</f>
        <v>0</v>
      </c>
      <c r="M92" s="194">
        <f>(M85/($J$19+SUM($G$87:M87)))</f>
        <v>0</v>
      </c>
      <c r="N92" s="194">
        <f>(N85/($J$19+SUM($G$87:N87)))</f>
        <v>0</v>
      </c>
      <c r="O92" s="194">
        <f>(O85/($J$19+SUM($G$87:O87)))</f>
        <v>0</v>
      </c>
      <c r="P92" s="194">
        <f>(P85/($J$19+SUM($G$87:P87)))</f>
        <v>0</v>
      </c>
      <c r="Q92" s="194">
        <f>(Q85/($J$19+SUM($G$87:Q87)))</f>
        <v>0</v>
      </c>
      <c r="R92" s="195">
        <f>(R85/($J$19+SUM($G$87:R87)))</f>
        <v>0</v>
      </c>
    </row>
    <row r="93" spans="3:19" ht="11.25" customHeight="1" thickBot="1" x14ac:dyDescent="0.3">
      <c r="C93" s="491"/>
      <c r="D93" s="492"/>
      <c r="E93" s="493"/>
      <c r="F93" s="493"/>
      <c r="G93" s="493"/>
      <c r="H93" s="494"/>
      <c r="I93" s="494"/>
      <c r="J93" s="493"/>
      <c r="K93" s="493"/>
      <c r="L93" s="493"/>
      <c r="M93" s="492"/>
      <c r="N93" s="493"/>
      <c r="O93" s="493"/>
      <c r="P93" s="493"/>
      <c r="Q93" s="493"/>
      <c r="R93" s="495"/>
    </row>
    <row r="94" spans="3:19" ht="16.5" thickBot="1" x14ac:dyDescent="0.3">
      <c r="C94" s="171" t="s">
        <v>100</v>
      </c>
      <c r="D94" s="155"/>
      <c r="E94" s="156"/>
      <c r="F94" s="156"/>
      <c r="G94" s="156">
        <f>(G68+G70)/$J$13</f>
        <v>0</v>
      </c>
      <c r="H94" s="156">
        <f>(H74)/($J$13+SUM($H$87:H87))</f>
        <v>0</v>
      </c>
      <c r="I94" s="156">
        <f>(I74)/($J$13+SUM($H$87:I87))</f>
        <v>0</v>
      </c>
      <c r="J94" s="156">
        <f>(J74)/($J$13+SUM($H$87:J87))</f>
        <v>0</v>
      </c>
      <c r="K94" s="156">
        <f>(K74)/($J$13+SUM($H$87:K87))</f>
        <v>0</v>
      </c>
      <c r="L94" s="156">
        <f>(L74)/($J$13+SUM($H$87:L87))</f>
        <v>0</v>
      </c>
      <c r="M94" s="156">
        <f>(M74)/($J$13+SUM($H$87:M87))</f>
        <v>0</v>
      </c>
      <c r="N94" s="156">
        <f>(N74)/($J$13+SUM($H$87:N87))</f>
        <v>0</v>
      </c>
      <c r="O94" s="156">
        <f>(O74)/($J$13+SUM($H$87:O87))</f>
        <v>0</v>
      </c>
      <c r="P94" s="156">
        <f>(P74)/($J$13+SUM($H$87:P87))</f>
        <v>0</v>
      </c>
      <c r="Q94" s="156">
        <f>(Q74)/($J$13+SUM($H$87:Q87))</f>
        <v>0</v>
      </c>
      <c r="R94" s="157">
        <f>(R74)/($J$13+SUM($H$87:R87))</f>
        <v>0</v>
      </c>
    </row>
    <row r="96" spans="3:19" x14ac:dyDescent="0.25">
      <c r="C96" s="351"/>
      <c r="D96" s="351"/>
      <c r="F96" s="80"/>
      <c r="G96" s="80"/>
      <c r="H96" s="80"/>
      <c r="I96" s="80"/>
    </row>
    <row r="97" spans="3:11" x14ac:dyDescent="0.25">
      <c r="C97" s="158"/>
      <c r="D97" s="158"/>
    </row>
    <row r="98" spans="3:11" x14ac:dyDescent="0.25">
      <c r="E98" s="40"/>
      <c r="F98" s="40"/>
      <c r="G98" s="40"/>
      <c r="H98" s="40"/>
      <c r="I98" s="40"/>
      <c r="J98" s="40"/>
      <c r="K98" s="40"/>
    </row>
    <row r="99" spans="3:11" x14ac:dyDescent="0.25">
      <c r="E99" s="80"/>
      <c r="F99" s="80"/>
      <c r="G99" s="80"/>
      <c r="H99" s="80"/>
      <c r="I99" s="80"/>
      <c r="J99" s="80"/>
      <c r="K99" s="80"/>
    </row>
  </sheetData>
  <mergeCells count="11">
    <mergeCell ref="C96:D96"/>
    <mergeCell ref="C15:D15"/>
    <mergeCell ref="F6:H6"/>
    <mergeCell ref="I7:J7"/>
    <mergeCell ref="F22:F24"/>
    <mergeCell ref="E22:E24"/>
    <mergeCell ref="C3:D3"/>
    <mergeCell ref="C4:D4"/>
    <mergeCell ref="G22:R22"/>
    <mergeCell ref="Q7:R7"/>
    <mergeCell ref="O6:P6"/>
  </mergeCells>
  <conditionalFormatting sqref="E92:R92 E94:R94">
    <cfRule type="cellIs" dxfId="1" priority="4" operator="equal">
      <formula>0</formula>
    </cfRule>
  </conditionalFormatting>
  <dataValidations xWindow="1091" yWindow="798" count="3">
    <dataValidation type="list" allowBlank="1" showInputMessage="1" showErrorMessage="1" sqref="Z3" xr:uid="{9B4F5CF4-2EB4-46D6-B2E7-6F0656B0B672}">
      <formula1>"360, IO"</formula1>
    </dataValidation>
    <dataValidation type="list" allowBlank="1" showInputMessage="1" showErrorMessage="1" sqref="P8" xr:uid="{500AAFF0-9499-4C39-B6C6-752E4C78FE20}">
      <formula1>"Stabilized (Perm), Bridge"</formula1>
    </dataValidation>
    <dataValidation type="custom" allowBlank="1" showInputMessage="1" showErrorMessage="1" sqref="P17 R16" xr:uid="{6C138207-C578-459E-8442-6F03703C8294}">
      <formula1>OR(ISNUMBER(P16), P16="IO")</formula1>
    </dataValidation>
  </dataValidations>
  <pageMargins left="0.5" right="0.25" top="0.25" bottom="0.25" header="0.3" footer="0.3"/>
  <pageSetup paperSize="3" scale="53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etTarget1YrCapRate">
                <anchor moveWithCells="1" sizeWithCells="1">
                  <from>
                    <xdr:col>2</xdr:col>
                    <xdr:colOff>2600325</xdr:colOff>
                    <xdr:row>4</xdr:row>
                    <xdr:rowOff>0</xdr:rowOff>
                  </from>
                  <to>
                    <xdr:col>3</xdr:col>
                    <xdr:colOff>1304925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SetTargetLevEM">
                <anchor moveWithCells="1" sizeWithCells="1">
                  <from>
                    <xdr:col>2</xdr:col>
                    <xdr:colOff>2609850</xdr:colOff>
                    <xdr:row>7</xdr:row>
                    <xdr:rowOff>28575</xdr:rowOff>
                  </from>
                  <to>
                    <xdr:col>3</xdr:col>
                    <xdr:colOff>1314450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SetTargetIRR">
                <anchor moveWithCells="1" sizeWithCells="1">
                  <from>
                    <xdr:col>2</xdr:col>
                    <xdr:colOff>2609850</xdr:colOff>
                    <xdr:row>10</xdr:row>
                    <xdr:rowOff>19050</xdr:rowOff>
                  </from>
                  <to>
                    <xdr:col>3</xdr:col>
                    <xdr:colOff>1314450</xdr:colOff>
                    <xdr:row>12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00000000-000E-0000-0100-000005000000}">
            <xm:f>SUM($G$34:$R$34)&gt;'Deal Summary'!$O$8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m:sqref>G34:R34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CC3E2-C9C4-4658-939E-68288F04CC2C}">
  <sheetPr codeName="Sheet5"/>
  <dimension ref="E3:K142"/>
  <sheetViews>
    <sheetView showGridLines="0" workbookViewId="0">
      <selection activeCell="F22" sqref="F22"/>
    </sheetView>
  </sheetViews>
  <sheetFormatPr defaultRowHeight="15" x14ac:dyDescent="0.25"/>
  <cols>
    <col min="5" max="5" width="44.28515625" bestFit="1" customWidth="1"/>
    <col min="6" max="6" width="31.42578125" bestFit="1" customWidth="1"/>
    <col min="7" max="7" width="35.28515625" bestFit="1" customWidth="1"/>
    <col min="9" max="9" width="5.140625" customWidth="1"/>
    <col min="10" max="10" width="26" bestFit="1" customWidth="1"/>
    <col min="11" max="11" width="14.5703125" customWidth="1"/>
  </cols>
  <sheetData>
    <row r="3" spans="5:11" ht="15.75" thickBot="1" x14ac:dyDescent="0.3">
      <c r="E3" s="216" t="s">
        <v>155</v>
      </c>
      <c r="F3" s="216" t="s">
        <v>153</v>
      </c>
      <c r="G3" s="216" t="s">
        <v>154</v>
      </c>
    </row>
    <row r="4" spans="5:11" ht="15.75" thickBot="1" x14ac:dyDescent="0.3">
      <c r="E4" s="220" t="s">
        <v>113</v>
      </c>
      <c r="F4" s="220" t="s">
        <v>114</v>
      </c>
      <c r="G4" s="220" t="s">
        <v>115</v>
      </c>
      <c r="J4" s="449" t="s">
        <v>141</v>
      </c>
      <c r="K4" s="450"/>
    </row>
    <row r="5" spans="5:11" x14ac:dyDescent="0.25">
      <c r="E5" s="217"/>
      <c r="G5" s="219"/>
      <c r="J5" s="451" t="str">
        <f>Proforma!C35</f>
        <v>Residential Rent</v>
      </c>
      <c r="K5" s="452">
        <f>SUMIF('T-12'!$F:$F,J5, 'T-12'!G:G)</f>
        <v>0</v>
      </c>
    </row>
    <row r="6" spans="5:11" x14ac:dyDescent="0.25">
      <c r="E6" s="217"/>
      <c r="G6" s="219"/>
      <c r="J6" s="451" t="str">
        <f>Proforma!C36</f>
        <v>Commercial Rent</v>
      </c>
      <c r="K6" s="452">
        <f>SUMIF('T-12'!$F:$F,J6, 'T-12'!G:G)</f>
        <v>0</v>
      </c>
    </row>
    <row r="7" spans="5:11" x14ac:dyDescent="0.25">
      <c r="E7" s="217"/>
      <c r="G7" s="219"/>
      <c r="J7" s="451" t="str">
        <f>Proforma!C37</f>
        <v>Parking Revenue</v>
      </c>
      <c r="K7" s="452">
        <f>SUMIF('T-12'!$F:$F,J7, 'T-12'!G:G)</f>
        <v>0</v>
      </c>
    </row>
    <row r="8" spans="5:11" x14ac:dyDescent="0.25">
      <c r="E8" s="217"/>
      <c r="G8" s="219"/>
      <c r="J8" s="451" t="str">
        <f>Proforma!C48</f>
        <v>Other Income</v>
      </c>
      <c r="K8" s="452">
        <f>SUMIF('T-12'!$F:$F,J8, 'T-12'!G:G)</f>
        <v>0</v>
      </c>
    </row>
    <row r="9" spans="5:11" x14ac:dyDescent="0.25">
      <c r="E9" s="217"/>
      <c r="G9" s="219"/>
      <c r="J9" s="451" t="s">
        <v>45</v>
      </c>
      <c r="K9" s="452">
        <f>SUMIF('T-12'!$F:$F,J9, 'T-12'!G:G)</f>
        <v>0</v>
      </c>
    </row>
    <row r="10" spans="5:11" x14ac:dyDescent="0.25">
      <c r="E10" s="217"/>
      <c r="G10" s="219"/>
      <c r="J10" s="451" t="s">
        <v>177</v>
      </c>
      <c r="K10" s="452">
        <f>SUMIF('T-12'!$F:$F,J10, 'T-12'!G:G)</f>
        <v>0</v>
      </c>
    </row>
    <row r="11" spans="5:11" x14ac:dyDescent="0.25">
      <c r="E11" s="217"/>
      <c r="G11" s="219"/>
      <c r="J11" s="451" t="s">
        <v>88</v>
      </c>
      <c r="K11" s="452">
        <f>SUMIF('T-12'!$F:$F,J11, 'T-12'!G:G)</f>
        <v>0</v>
      </c>
    </row>
    <row r="12" spans="5:11" x14ac:dyDescent="0.25">
      <c r="E12" s="217"/>
      <c r="G12" s="219"/>
      <c r="J12" s="451" t="s">
        <v>46</v>
      </c>
      <c r="K12" s="452">
        <f>SUMIF('T-12'!$F:$F,J12, 'T-12'!G:G)</f>
        <v>0</v>
      </c>
    </row>
    <row r="13" spans="5:11" x14ac:dyDescent="0.25">
      <c r="E13" s="217"/>
      <c r="G13" s="219"/>
      <c r="J13" s="453" t="s">
        <v>181</v>
      </c>
      <c r="K13" s="454">
        <f>SUM(K5:K12)</f>
        <v>0</v>
      </c>
    </row>
    <row r="14" spans="5:11" x14ac:dyDescent="0.25">
      <c r="E14" s="217"/>
      <c r="G14" s="219"/>
      <c r="J14" s="455" t="str">
        <f>Proforma!C52</f>
        <v>Property Tax</v>
      </c>
      <c r="K14" s="456">
        <f>-SUMIF('T-12'!$F:$F,J14, 'T-12'!G:G)</f>
        <v>0</v>
      </c>
    </row>
    <row r="15" spans="5:11" x14ac:dyDescent="0.25">
      <c r="E15" s="217"/>
      <c r="G15" s="219"/>
      <c r="J15" s="455" t="str">
        <f>Proforma!C53</f>
        <v>Insurance</v>
      </c>
      <c r="K15" s="456">
        <f>-SUMIF('T-12'!$F:$F,J15, 'T-12'!G:G)</f>
        <v>0</v>
      </c>
    </row>
    <row r="16" spans="5:11" x14ac:dyDescent="0.25">
      <c r="E16" s="217"/>
      <c r="G16" s="219"/>
      <c r="J16" s="455" t="str">
        <f>Proforma!C54</f>
        <v>Electricity</v>
      </c>
      <c r="K16" s="456">
        <f>-SUMIF('T-12'!$F:$F,J16, 'T-12'!G:G)</f>
        <v>0</v>
      </c>
    </row>
    <row r="17" spans="5:11" x14ac:dyDescent="0.25">
      <c r="E17" s="217"/>
      <c r="G17" s="219"/>
      <c r="J17" s="455" t="str">
        <f>Proforma!C55</f>
        <v>Water</v>
      </c>
      <c r="K17" s="456">
        <f>-SUMIF('T-12'!$F:$F,J17, 'T-12'!G:G)</f>
        <v>0</v>
      </c>
    </row>
    <row r="18" spans="5:11" x14ac:dyDescent="0.25">
      <c r="E18" s="217"/>
      <c r="G18" s="219"/>
      <c r="J18" s="455" t="str">
        <f>Proforma!C56</f>
        <v>Gas</v>
      </c>
      <c r="K18" s="456">
        <f>-SUMIF('T-12'!$F:$F,J18, 'T-12'!G:G)</f>
        <v>0</v>
      </c>
    </row>
    <row r="19" spans="5:11" x14ac:dyDescent="0.25">
      <c r="E19" s="217"/>
      <c r="G19" s="219"/>
      <c r="J19" s="455" t="str">
        <f>Proforma!C57</f>
        <v>Service Contracts</v>
      </c>
      <c r="K19" s="456">
        <f>-SUMIF('T-12'!$F:$F,J19, 'T-12'!G:G)</f>
        <v>0</v>
      </c>
    </row>
    <row r="20" spans="5:11" x14ac:dyDescent="0.25">
      <c r="E20" s="217"/>
      <c r="G20" s="219"/>
      <c r="J20" s="455" t="str">
        <f>Proforma!C58</f>
        <v>Professional Fees</v>
      </c>
      <c r="K20" s="456">
        <f>-SUMIF('T-12'!$F:$F,J20, 'T-12'!G:G)</f>
        <v>0</v>
      </c>
    </row>
    <row r="21" spans="5:11" x14ac:dyDescent="0.25">
      <c r="E21" s="217"/>
      <c r="G21" s="219"/>
      <c r="J21" s="455" t="str">
        <f>Proforma!C59</f>
        <v>R&amp;M</v>
      </c>
      <c r="K21" s="456">
        <f>-SUMIF('T-12'!$F:$F,J21, 'T-12'!G:G)</f>
        <v>0</v>
      </c>
    </row>
    <row r="22" spans="5:11" x14ac:dyDescent="0.25">
      <c r="E22" s="217"/>
      <c r="G22" s="219"/>
      <c r="J22" s="455" t="str">
        <f>Proforma!C60</f>
        <v>Leasing &amp; Marketing</v>
      </c>
      <c r="K22" s="456">
        <f>-SUMIF('T-12'!$F:$F,J22, 'T-12'!G:G)</f>
        <v>0</v>
      </c>
    </row>
    <row r="23" spans="5:11" x14ac:dyDescent="0.25">
      <c r="E23" s="217"/>
      <c r="G23" s="219"/>
      <c r="J23" s="455" t="str">
        <f>Proforma!C61</f>
        <v>Turnover</v>
      </c>
      <c r="K23" s="456">
        <f>-SUMIF('T-12'!$F:$F,J23, 'T-12'!G:G)</f>
        <v>0</v>
      </c>
    </row>
    <row r="24" spans="5:11" x14ac:dyDescent="0.25">
      <c r="E24" s="217"/>
      <c r="G24" s="219"/>
      <c r="I24" s="103"/>
      <c r="J24" s="455" t="str">
        <f>Proforma!C62</f>
        <v>G&amp;A</v>
      </c>
      <c r="K24" s="456">
        <f>-SUMIF('T-12'!$F:$F,J24, 'T-12'!G:G)</f>
        <v>0</v>
      </c>
    </row>
    <row r="25" spans="5:11" x14ac:dyDescent="0.25">
      <c r="E25" s="217"/>
      <c r="G25" s="219"/>
      <c r="J25" s="455" t="str">
        <f>Proforma!C63</f>
        <v>Payroll</v>
      </c>
      <c r="K25" s="456">
        <f>-SUMIF('T-12'!$F:$F,J25, 'T-12'!G:G)</f>
        <v>0</v>
      </c>
    </row>
    <row r="26" spans="5:11" x14ac:dyDescent="0.25">
      <c r="E26" s="217"/>
      <c r="G26" s="219"/>
      <c r="J26" s="455" t="str">
        <f>Proforma!C64</f>
        <v>Management</v>
      </c>
      <c r="K26" s="456">
        <f>-SUMIF('T-12'!$F:$F,J26, 'T-12'!G:G)</f>
        <v>0</v>
      </c>
    </row>
    <row r="27" spans="5:11" x14ac:dyDescent="0.25">
      <c r="E27" s="217"/>
      <c r="G27" s="219"/>
      <c r="J27" s="455" t="str">
        <f>Proforma!C65</f>
        <v xml:space="preserve">Asset Management </v>
      </c>
      <c r="K27" s="456">
        <f>-SUMIF('T-12'!$F:$F,J27, 'T-12'!G:G)</f>
        <v>0</v>
      </c>
    </row>
    <row r="28" spans="5:11" ht="15.75" thickBot="1" x14ac:dyDescent="0.3">
      <c r="E28" s="217"/>
      <c r="G28" s="219"/>
      <c r="J28" s="457" t="s">
        <v>140</v>
      </c>
      <c r="K28" s="458">
        <f>SUM(K14:K27)</f>
        <v>0</v>
      </c>
    </row>
    <row r="29" spans="5:11" ht="15.75" thickBot="1" x14ac:dyDescent="0.3">
      <c r="E29" s="217"/>
      <c r="G29" s="219"/>
      <c r="J29" s="459" t="s">
        <v>59</v>
      </c>
      <c r="K29" s="460">
        <f>K13+K28</f>
        <v>0</v>
      </c>
    </row>
    <row r="30" spans="5:11" x14ac:dyDescent="0.25">
      <c r="E30" s="217"/>
      <c r="G30" s="219"/>
    </row>
    <row r="31" spans="5:11" x14ac:dyDescent="0.25">
      <c r="E31" s="217"/>
      <c r="G31" s="219"/>
    </row>
    <row r="32" spans="5:11" x14ac:dyDescent="0.25">
      <c r="E32" s="217"/>
      <c r="G32" s="219"/>
    </row>
    <row r="33" spans="5:7" x14ac:dyDescent="0.25">
      <c r="E33" s="217"/>
      <c r="G33" s="219"/>
    </row>
    <row r="34" spans="5:7" x14ac:dyDescent="0.25">
      <c r="E34" s="217"/>
      <c r="F34" s="79"/>
      <c r="G34" s="219"/>
    </row>
    <row r="35" spans="5:7" x14ac:dyDescent="0.25">
      <c r="E35" s="217"/>
      <c r="G35" s="219"/>
    </row>
    <row r="36" spans="5:7" x14ac:dyDescent="0.25">
      <c r="E36" s="217"/>
      <c r="G36" s="219"/>
    </row>
    <row r="37" spans="5:7" x14ac:dyDescent="0.25">
      <c r="E37" s="217"/>
      <c r="G37" s="219"/>
    </row>
    <row r="38" spans="5:7" x14ac:dyDescent="0.25">
      <c r="E38" s="217"/>
      <c r="G38" s="219"/>
    </row>
    <row r="39" spans="5:7" x14ac:dyDescent="0.25">
      <c r="E39" s="217"/>
      <c r="G39" s="219"/>
    </row>
    <row r="40" spans="5:7" x14ac:dyDescent="0.25">
      <c r="E40" s="217"/>
      <c r="G40" s="219"/>
    </row>
    <row r="41" spans="5:7" x14ac:dyDescent="0.25">
      <c r="E41" s="217"/>
      <c r="G41" s="219"/>
    </row>
    <row r="42" spans="5:7" x14ac:dyDescent="0.25">
      <c r="E42" s="217"/>
      <c r="G42" s="219"/>
    </row>
    <row r="43" spans="5:7" x14ac:dyDescent="0.25">
      <c r="E43" s="217"/>
      <c r="G43" s="219"/>
    </row>
    <row r="44" spans="5:7" x14ac:dyDescent="0.25">
      <c r="E44" s="217"/>
      <c r="G44" s="219"/>
    </row>
    <row r="45" spans="5:7" x14ac:dyDescent="0.25">
      <c r="E45" s="217"/>
      <c r="G45" s="219"/>
    </row>
    <row r="46" spans="5:7" x14ac:dyDescent="0.25">
      <c r="E46" s="217"/>
      <c r="G46" s="219"/>
    </row>
    <row r="47" spans="5:7" x14ac:dyDescent="0.25">
      <c r="E47" s="217"/>
      <c r="G47" s="219"/>
    </row>
    <row r="48" spans="5:7" x14ac:dyDescent="0.25">
      <c r="E48" s="217"/>
      <c r="G48" s="219"/>
    </row>
    <row r="49" spans="5:7" x14ac:dyDescent="0.25">
      <c r="E49" s="217"/>
      <c r="G49" s="219"/>
    </row>
    <row r="50" spans="5:7" x14ac:dyDescent="0.25">
      <c r="E50" s="217"/>
      <c r="G50" s="219"/>
    </row>
    <row r="51" spans="5:7" x14ac:dyDescent="0.25">
      <c r="E51" s="217"/>
      <c r="G51" s="219"/>
    </row>
    <row r="52" spans="5:7" x14ac:dyDescent="0.25">
      <c r="E52" s="217"/>
      <c r="G52" s="219"/>
    </row>
    <row r="53" spans="5:7" x14ac:dyDescent="0.25">
      <c r="E53" s="217"/>
      <c r="G53" s="219"/>
    </row>
    <row r="54" spans="5:7" x14ac:dyDescent="0.25">
      <c r="E54" s="217"/>
      <c r="G54" s="219"/>
    </row>
    <row r="55" spans="5:7" x14ac:dyDescent="0.25">
      <c r="E55" s="217"/>
      <c r="G55" s="219"/>
    </row>
    <row r="56" spans="5:7" x14ac:dyDescent="0.25">
      <c r="E56" s="217"/>
      <c r="G56" s="219"/>
    </row>
    <row r="57" spans="5:7" x14ac:dyDescent="0.25">
      <c r="E57" s="217"/>
      <c r="G57" s="219"/>
    </row>
    <row r="58" spans="5:7" x14ac:dyDescent="0.25">
      <c r="E58" s="217"/>
      <c r="G58" s="219"/>
    </row>
    <row r="59" spans="5:7" x14ac:dyDescent="0.25">
      <c r="E59" s="217"/>
      <c r="G59" s="219"/>
    </row>
    <row r="60" spans="5:7" x14ac:dyDescent="0.25">
      <c r="E60" s="217"/>
      <c r="G60" s="219"/>
    </row>
    <row r="61" spans="5:7" x14ac:dyDescent="0.25">
      <c r="E61" s="217"/>
      <c r="G61" s="219"/>
    </row>
    <row r="62" spans="5:7" x14ac:dyDescent="0.25">
      <c r="E62" s="217"/>
      <c r="G62" s="219"/>
    </row>
    <row r="63" spans="5:7" x14ac:dyDescent="0.25">
      <c r="E63" s="217"/>
      <c r="G63" s="219"/>
    </row>
    <row r="64" spans="5:7" x14ac:dyDescent="0.25">
      <c r="E64" s="217"/>
      <c r="G64" s="219"/>
    </row>
    <row r="65" spans="5:7" x14ac:dyDescent="0.25">
      <c r="E65" s="217"/>
      <c r="G65" s="219"/>
    </row>
    <row r="66" spans="5:7" x14ac:dyDescent="0.25">
      <c r="E66" s="217"/>
      <c r="G66" s="219"/>
    </row>
    <row r="67" spans="5:7" x14ac:dyDescent="0.25">
      <c r="E67" s="217"/>
      <c r="G67" s="219"/>
    </row>
    <row r="68" spans="5:7" x14ac:dyDescent="0.25">
      <c r="E68" s="217"/>
      <c r="G68" s="219"/>
    </row>
    <row r="69" spans="5:7" x14ac:dyDescent="0.25">
      <c r="E69" s="217"/>
      <c r="G69" s="219"/>
    </row>
    <row r="70" spans="5:7" x14ac:dyDescent="0.25">
      <c r="E70" s="217"/>
      <c r="G70" s="219"/>
    </row>
    <row r="71" spans="5:7" x14ac:dyDescent="0.25">
      <c r="E71" s="217"/>
      <c r="G71" s="219"/>
    </row>
    <row r="72" spans="5:7" x14ac:dyDescent="0.25">
      <c r="E72" s="217"/>
      <c r="G72" s="219"/>
    </row>
    <row r="73" spans="5:7" x14ac:dyDescent="0.25">
      <c r="E73" s="217"/>
      <c r="G73" s="219"/>
    </row>
    <row r="74" spans="5:7" x14ac:dyDescent="0.25">
      <c r="E74" s="217"/>
      <c r="G74" s="219"/>
    </row>
    <row r="75" spans="5:7" x14ac:dyDescent="0.25">
      <c r="E75" s="217"/>
      <c r="G75" s="219"/>
    </row>
    <row r="76" spans="5:7" x14ac:dyDescent="0.25">
      <c r="E76" s="217"/>
      <c r="G76" s="219"/>
    </row>
    <row r="77" spans="5:7" x14ac:dyDescent="0.25">
      <c r="E77" s="217"/>
      <c r="G77" s="219"/>
    </row>
    <row r="78" spans="5:7" x14ac:dyDescent="0.25">
      <c r="E78" s="217"/>
      <c r="G78" s="219"/>
    </row>
    <row r="79" spans="5:7" x14ac:dyDescent="0.25">
      <c r="E79" s="217"/>
      <c r="G79" s="219"/>
    </row>
    <row r="80" spans="5:7" x14ac:dyDescent="0.25">
      <c r="E80" s="217"/>
      <c r="G80" s="219"/>
    </row>
    <row r="81" spans="5:7" x14ac:dyDescent="0.25">
      <c r="E81" s="217"/>
      <c r="G81" s="219"/>
    </row>
    <row r="82" spans="5:7" x14ac:dyDescent="0.25">
      <c r="E82" s="217"/>
      <c r="G82" s="218"/>
    </row>
    <row r="83" spans="5:7" x14ac:dyDescent="0.25">
      <c r="E83" s="217"/>
      <c r="G83" s="218"/>
    </row>
    <row r="84" spans="5:7" x14ac:dyDescent="0.25">
      <c r="E84" s="217"/>
      <c r="G84" s="218"/>
    </row>
    <row r="85" spans="5:7" x14ac:dyDescent="0.25">
      <c r="E85" s="217"/>
      <c r="G85" s="218"/>
    </row>
    <row r="86" spans="5:7" x14ac:dyDescent="0.25">
      <c r="E86" s="217"/>
      <c r="G86" s="218"/>
    </row>
    <row r="87" spans="5:7" x14ac:dyDescent="0.25">
      <c r="E87" s="217"/>
      <c r="G87" s="218"/>
    </row>
    <row r="88" spans="5:7" x14ac:dyDescent="0.25">
      <c r="E88" s="217"/>
      <c r="G88" s="217"/>
    </row>
    <row r="89" spans="5:7" x14ac:dyDescent="0.25">
      <c r="E89" s="217"/>
      <c r="G89" s="217"/>
    </row>
    <row r="90" spans="5:7" x14ac:dyDescent="0.25">
      <c r="E90" s="217"/>
      <c r="G90" s="232"/>
    </row>
    <row r="91" spans="5:7" x14ac:dyDescent="0.25">
      <c r="E91" s="217"/>
      <c r="G91" s="217"/>
    </row>
    <row r="92" spans="5:7" x14ac:dyDescent="0.25">
      <c r="E92" s="217"/>
      <c r="G92" s="217"/>
    </row>
    <row r="93" spans="5:7" x14ac:dyDescent="0.25">
      <c r="E93" s="217"/>
      <c r="G93" s="217"/>
    </row>
    <row r="94" spans="5:7" x14ac:dyDescent="0.25">
      <c r="E94" s="217"/>
      <c r="G94" s="217"/>
    </row>
    <row r="95" spans="5:7" x14ac:dyDescent="0.25">
      <c r="E95" s="217"/>
      <c r="G95" s="217"/>
    </row>
    <row r="96" spans="5:7" x14ac:dyDescent="0.25">
      <c r="E96" s="217"/>
      <c r="G96" s="217"/>
    </row>
    <row r="97" spans="5:7" x14ac:dyDescent="0.25">
      <c r="E97" s="217"/>
      <c r="G97" s="217"/>
    </row>
    <row r="98" spans="5:7" x14ac:dyDescent="0.25">
      <c r="E98" s="217"/>
      <c r="G98" s="217"/>
    </row>
    <row r="99" spans="5:7" x14ac:dyDescent="0.25">
      <c r="E99" s="217"/>
      <c r="G99" s="217"/>
    </row>
    <row r="100" spans="5:7" x14ac:dyDescent="0.25">
      <c r="E100" s="217"/>
      <c r="G100" s="217"/>
    </row>
    <row r="101" spans="5:7" x14ac:dyDescent="0.25">
      <c r="E101" s="217"/>
      <c r="G101" s="217"/>
    </row>
    <row r="102" spans="5:7" x14ac:dyDescent="0.25">
      <c r="E102" s="217"/>
      <c r="G102" s="217"/>
    </row>
    <row r="103" spans="5:7" x14ac:dyDescent="0.25">
      <c r="E103" s="217"/>
      <c r="G103" s="217"/>
    </row>
    <row r="104" spans="5:7" x14ac:dyDescent="0.25">
      <c r="E104" s="217"/>
      <c r="G104" s="217"/>
    </row>
    <row r="105" spans="5:7" x14ac:dyDescent="0.25">
      <c r="E105" s="217"/>
      <c r="G105" s="217"/>
    </row>
    <row r="106" spans="5:7" x14ac:dyDescent="0.25">
      <c r="E106" s="217"/>
      <c r="G106" s="217"/>
    </row>
    <row r="107" spans="5:7" x14ac:dyDescent="0.25">
      <c r="E107" s="217"/>
      <c r="G107" s="217"/>
    </row>
    <row r="108" spans="5:7" x14ac:dyDescent="0.25">
      <c r="E108" s="217"/>
      <c r="G108" s="217"/>
    </row>
    <row r="109" spans="5:7" x14ac:dyDescent="0.25">
      <c r="E109" s="217"/>
      <c r="G109" s="217"/>
    </row>
    <row r="110" spans="5:7" x14ac:dyDescent="0.25">
      <c r="E110" s="217"/>
      <c r="G110" s="217"/>
    </row>
    <row r="111" spans="5:7" x14ac:dyDescent="0.25">
      <c r="E111" s="217"/>
      <c r="G111" s="217"/>
    </row>
    <row r="112" spans="5:7" x14ac:dyDescent="0.25">
      <c r="E112" s="217"/>
      <c r="G112" s="217"/>
    </row>
    <row r="113" spans="5:7" x14ac:dyDescent="0.25">
      <c r="E113" s="217"/>
      <c r="G113" s="217"/>
    </row>
    <row r="114" spans="5:7" x14ac:dyDescent="0.25">
      <c r="E114" s="217"/>
      <c r="G114" s="217"/>
    </row>
    <row r="115" spans="5:7" x14ac:dyDescent="0.25">
      <c r="E115" s="217"/>
      <c r="G115" s="217"/>
    </row>
    <row r="116" spans="5:7" x14ac:dyDescent="0.25">
      <c r="E116" s="217"/>
      <c r="G116" s="217"/>
    </row>
    <row r="117" spans="5:7" x14ac:dyDescent="0.25">
      <c r="E117" s="217"/>
      <c r="G117" s="217"/>
    </row>
    <row r="118" spans="5:7" x14ac:dyDescent="0.25">
      <c r="E118" s="217"/>
      <c r="G118" s="217"/>
    </row>
    <row r="119" spans="5:7" x14ac:dyDescent="0.25">
      <c r="E119" s="217"/>
      <c r="G119" s="217"/>
    </row>
    <row r="120" spans="5:7" x14ac:dyDescent="0.25">
      <c r="E120" s="217"/>
      <c r="G120" s="217"/>
    </row>
    <row r="121" spans="5:7" x14ac:dyDescent="0.25">
      <c r="E121" s="217"/>
      <c r="G121" s="217"/>
    </row>
    <row r="122" spans="5:7" x14ac:dyDescent="0.25">
      <c r="E122" s="217"/>
      <c r="G122" s="217"/>
    </row>
    <row r="123" spans="5:7" x14ac:dyDescent="0.25">
      <c r="E123" s="217"/>
      <c r="G123" s="217"/>
    </row>
    <row r="124" spans="5:7" x14ac:dyDescent="0.25">
      <c r="E124" s="217"/>
      <c r="G124" s="217"/>
    </row>
    <row r="125" spans="5:7" x14ac:dyDescent="0.25">
      <c r="E125" s="217"/>
      <c r="G125" s="217"/>
    </row>
    <row r="126" spans="5:7" x14ac:dyDescent="0.25">
      <c r="E126" s="217"/>
      <c r="G126" s="217"/>
    </row>
    <row r="127" spans="5:7" x14ac:dyDescent="0.25">
      <c r="E127" s="217"/>
      <c r="G127" s="217"/>
    </row>
    <row r="128" spans="5:7" x14ac:dyDescent="0.25">
      <c r="E128" s="217"/>
      <c r="G128" s="217"/>
    </row>
    <row r="129" spans="5:7" x14ac:dyDescent="0.25">
      <c r="E129" s="217"/>
      <c r="G129" s="217"/>
    </row>
    <row r="130" spans="5:7" x14ac:dyDescent="0.25">
      <c r="E130" s="217"/>
      <c r="G130" s="217"/>
    </row>
    <row r="131" spans="5:7" x14ac:dyDescent="0.25">
      <c r="E131" s="217"/>
      <c r="G131" s="217"/>
    </row>
    <row r="132" spans="5:7" x14ac:dyDescent="0.25">
      <c r="E132" s="217"/>
      <c r="G132" s="217"/>
    </row>
    <row r="133" spans="5:7" x14ac:dyDescent="0.25">
      <c r="E133" s="217"/>
      <c r="G133" s="217"/>
    </row>
    <row r="134" spans="5:7" x14ac:dyDescent="0.25">
      <c r="E134" s="217"/>
      <c r="G134" s="217"/>
    </row>
    <row r="135" spans="5:7" x14ac:dyDescent="0.25">
      <c r="E135" s="217"/>
      <c r="G135" s="217"/>
    </row>
    <row r="136" spans="5:7" x14ac:dyDescent="0.25">
      <c r="E136" s="217"/>
      <c r="G136" s="217"/>
    </row>
    <row r="137" spans="5:7" x14ac:dyDescent="0.25">
      <c r="E137" s="217"/>
      <c r="G137" s="217"/>
    </row>
    <row r="138" spans="5:7" x14ac:dyDescent="0.25">
      <c r="E138" s="217"/>
      <c r="G138" s="217"/>
    </row>
    <row r="139" spans="5:7" x14ac:dyDescent="0.25">
      <c r="E139" s="217"/>
      <c r="G139" s="217"/>
    </row>
    <row r="140" spans="5:7" x14ac:dyDescent="0.25">
      <c r="E140" s="217"/>
      <c r="G140" s="217"/>
    </row>
    <row r="141" spans="5:7" x14ac:dyDescent="0.25">
      <c r="E141" s="217"/>
      <c r="G141" s="217"/>
    </row>
    <row r="142" spans="5:7" x14ac:dyDescent="0.25">
      <c r="E142" s="217"/>
      <c r="G142" s="217"/>
    </row>
  </sheetData>
  <mergeCells count="1">
    <mergeCell ref="J4:K4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D1B1D51-B3D1-4E29-BA9A-6DD75F0B83E6}">
          <x14:formula1>
            <xm:f>Proforma!$C$35:$C$66</xm:f>
          </x14:formula1>
          <xm:sqref>F5:F142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BE2F8-074D-41F3-A76B-5FF376F0996F}">
  <sheetPr codeName="Sheet6">
    <pageSetUpPr fitToPage="1"/>
  </sheetPr>
  <dimension ref="B3:F38"/>
  <sheetViews>
    <sheetView showGridLines="0" topLeftCell="A12" zoomScale="85" zoomScaleNormal="85" workbookViewId="0">
      <selection activeCell="G16" sqref="G16"/>
    </sheetView>
  </sheetViews>
  <sheetFormatPr defaultRowHeight="15" x14ac:dyDescent="0.25"/>
  <cols>
    <col min="2" max="2" width="8.140625" customWidth="1"/>
    <col min="3" max="3" width="79.85546875" customWidth="1"/>
  </cols>
  <sheetData>
    <row r="3" spans="2:4" x14ac:dyDescent="0.25">
      <c r="B3" s="223"/>
      <c r="C3" s="223"/>
      <c r="D3" s="223"/>
    </row>
    <row r="4" spans="2:4" ht="74.25" customHeight="1" x14ac:dyDescent="0.25">
      <c r="B4" s="352" t="s">
        <v>157</v>
      </c>
      <c r="C4" s="352"/>
      <c r="D4" s="223"/>
    </row>
    <row r="5" spans="2:4" x14ac:dyDescent="0.25">
      <c r="B5" s="223"/>
      <c r="C5" s="223"/>
      <c r="D5" s="223"/>
    </row>
    <row r="6" spans="2:4" x14ac:dyDescent="0.25">
      <c r="B6" s="223"/>
      <c r="C6" s="227">
        <f ca="1">TODAY()</f>
        <v>45861</v>
      </c>
      <c r="D6" s="223"/>
    </row>
    <row r="7" spans="2:4" x14ac:dyDescent="0.25">
      <c r="B7" s="223"/>
      <c r="C7" s="225" t="s">
        <v>166</v>
      </c>
      <c r="D7" s="223"/>
    </row>
    <row r="8" spans="2:4" x14ac:dyDescent="0.25">
      <c r="C8" s="225" t="s">
        <v>167</v>
      </c>
    </row>
    <row r="9" spans="2:4" x14ac:dyDescent="0.25">
      <c r="C9" s="225" t="s">
        <v>172</v>
      </c>
    </row>
    <row r="10" spans="2:4" x14ac:dyDescent="0.25">
      <c r="C10" s="225"/>
    </row>
    <row r="11" spans="2:4" ht="15.75" x14ac:dyDescent="0.25">
      <c r="C11" s="229" t="str">
        <f>"Re: " &amp; 'Deal Summary'!O4 &amp; " Letter of Intent"</f>
        <v>Re:  Letter of Intent</v>
      </c>
    </row>
    <row r="12" spans="2:4" x14ac:dyDescent="0.25">
      <c r="C12" s="222"/>
    </row>
    <row r="13" spans="2:4" x14ac:dyDescent="0.25">
      <c r="C13" s="228" t="str">
        <f>"Dear " &amp; C7</f>
        <v>Dear Broker Name</v>
      </c>
    </row>
    <row r="14" spans="2:4" ht="15.75" x14ac:dyDescent="0.25">
      <c r="C14" s="221"/>
    </row>
    <row r="15" spans="2:4" x14ac:dyDescent="0.25">
      <c r="C15" s="222"/>
    </row>
    <row r="16" spans="2:4" ht="28.5" x14ac:dyDescent="0.25">
      <c r="C16" s="226" t="s">
        <v>171</v>
      </c>
    </row>
    <row r="17" spans="3:3" x14ac:dyDescent="0.25">
      <c r="C17" s="222"/>
    </row>
    <row r="18" spans="3:3" x14ac:dyDescent="0.25">
      <c r="C18" s="496" t="str">
        <f>"Purchase Price: $" &amp; 'Deal Summary'!R7</f>
        <v>Purchase Price: $0</v>
      </c>
    </row>
    <row r="19" spans="3:3" x14ac:dyDescent="0.25">
      <c r="C19" s="222"/>
    </row>
    <row r="20" spans="3:3" x14ac:dyDescent="0.25">
      <c r="C20" s="224" t="str">
        <f>"Contract Deposit: $" &amp; IF('Deal Summary'!R7&lt;10000000, 'Deal Summary'!R7*5%, 'Deal Summary'!R7*2.5%) &amp; " upon execution of Purchase and Sale Agreement."</f>
        <v>Contract Deposit: $0 upon execution of Purchase and Sale Agreement.</v>
      </c>
    </row>
    <row r="21" spans="3:3" x14ac:dyDescent="0.25">
      <c r="C21" s="222"/>
    </row>
    <row r="22" spans="3:3" x14ac:dyDescent="0.25">
      <c r="C22" s="224" t="s">
        <v>158</v>
      </c>
    </row>
    <row r="23" spans="3:3" x14ac:dyDescent="0.25">
      <c r="C23" s="222"/>
    </row>
    <row r="24" spans="3:3" x14ac:dyDescent="0.25">
      <c r="C24" s="224" t="s">
        <v>159</v>
      </c>
    </row>
    <row r="25" spans="3:3" x14ac:dyDescent="0.25">
      <c r="C25" s="222"/>
    </row>
    <row r="26" spans="3:3" x14ac:dyDescent="0.25">
      <c r="C26" s="224" t="s">
        <v>160</v>
      </c>
    </row>
    <row r="27" spans="3:3" x14ac:dyDescent="0.25">
      <c r="C27" s="222"/>
    </row>
    <row r="28" spans="3:3" ht="42.75" x14ac:dyDescent="0.25">
      <c r="C28" s="226" t="s">
        <v>161</v>
      </c>
    </row>
    <row r="29" spans="3:3" ht="42.75" x14ac:dyDescent="0.25">
      <c r="C29" s="226" t="s">
        <v>162</v>
      </c>
    </row>
    <row r="30" spans="3:3" x14ac:dyDescent="0.25">
      <c r="C30" s="226" t="s">
        <v>163</v>
      </c>
    </row>
    <row r="31" spans="3:3" ht="42.75" x14ac:dyDescent="0.25">
      <c r="C31" s="226" t="s">
        <v>164</v>
      </c>
    </row>
    <row r="32" spans="3:3" x14ac:dyDescent="0.25">
      <c r="C32" s="222"/>
    </row>
    <row r="33" spans="3:6" x14ac:dyDescent="0.25">
      <c r="C33" s="222"/>
    </row>
    <row r="34" spans="3:6" x14ac:dyDescent="0.25">
      <c r="C34" s="225" t="s">
        <v>165</v>
      </c>
    </row>
    <row r="35" spans="3:6" x14ac:dyDescent="0.25">
      <c r="C35" s="225"/>
    </row>
    <row r="36" spans="3:6" x14ac:dyDescent="0.25">
      <c r="C36" s="225"/>
    </row>
    <row r="37" spans="3:6" x14ac:dyDescent="0.25">
      <c r="C37" s="225" t="s">
        <v>169</v>
      </c>
      <c r="F37" s="225" t="s">
        <v>168</v>
      </c>
    </row>
    <row r="38" spans="3:6" x14ac:dyDescent="0.25">
      <c r="C38" s="230" t="s">
        <v>170</v>
      </c>
    </row>
  </sheetData>
  <mergeCells count="1">
    <mergeCell ref="B4:C4"/>
  </mergeCells>
  <pageMargins left="0.7" right="0.7" top="0.75" bottom="0.75" header="0.3" footer="0.3"/>
  <pageSetup scale="98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7B4B71F1465E74CB5C191C4F1D2E420" ma:contentTypeVersion="13" ma:contentTypeDescription="Create a new document." ma:contentTypeScope="" ma:versionID="c2bb082a9a06a64e8162148cbeeb0657">
  <xsd:schema xmlns:xsd="http://www.w3.org/2001/XMLSchema" xmlns:xs="http://www.w3.org/2001/XMLSchema" xmlns:p="http://schemas.microsoft.com/office/2006/metadata/properties" xmlns:ns3="ad24167a-f382-4696-b83f-a610897ede13" xmlns:ns4="3c14805d-a621-4c02-bee7-541f6080e53b" targetNamespace="http://schemas.microsoft.com/office/2006/metadata/properties" ma:root="true" ma:fieldsID="4fc53802b94c5ae87dc44d2a0caa06fb" ns3:_="" ns4:_="">
    <xsd:import namespace="ad24167a-f382-4696-b83f-a610897ede13"/>
    <xsd:import namespace="3c14805d-a621-4c02-bee7-541f6080e53b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d24167a-f382-4696-b83f-a610897ede1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c14805d-a621-4c02-bee7-541f6080e53b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d24167a-f382-4696-b83f-a610897ede13" xsi:nil="true"/>
  </documentManagement>
</p:properties>
</file>

<file path=customXml/itemProps1.xml><?xml version="1.0" encoding="utf-8"?>
<ds:datastoreItem xmlns:ds="http://schemas.openxmlformats.org/officeDocument/2006/customXml" ds:itemID="{DA8B58F4-7EFB-47C2-853E-E6E81BEB574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15B1CCD-A35F-4F4E-B356-6EF0938D438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d24167a-f382-4696-b83f-a610897ede13"/>
    <ds:schemaRef ds:uri="3c14805d-a621-4c02-bee7-541f6080e53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6238414-AB7A-4F19-8CFF-5D00D1B0ADB0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ad24167a-f382-4696-b83f-a610897ede13"/>
    <ds:schemaRef ds:uri="http://schemas.openxmlformats.org/package/2006/metadata/core-properties"/>
    <ds:schemaRef ds:uri="http://purl.org/dc/terms/"/>
    <ds:schemaRef ds:uri="http://purl.org/dc/dcmitype/"/>
    <ds:schemaRef ds:uri="http://schemas.microsoft.com/office/infopath/2007/PartnerControls"/>
    <ds:schemaRef ds:uri="3c14805d-a621-4c02-bee7-541f6080e53b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READ ME - Instructions</vt:lpstr>
      <vt:lpstr>Deal Summary</vt:lpstr>
      <vt:lpstr>RR</vt:lpstr>
      <vt:lpstr>Proforma</vt:lpstr>
      <vt:lpstr>T-12</vt:lpstr>
      <vt:lpstr>LOI</vt:lpstr>
      <vt:lpstr>LOI!Print_Area</vt:lpstr>
      <vt:lpstr>Proforma!Print_Area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Ramos</dc:creator>
  <cp:lastModifiedBy>Dylan Vaccaro</cp:lastModifiedBy>
  <cp:lastPrinted>2025-07-10T17:04:19Z</cp:lastPrinted>
  <dcterms:created xsi:type="dcterms:W3CDTF">2024-07-29T15:44:31Z</dcterms:created>
  <dcterms:modified xsi:type="dcterms:W3CDTF">2025-07-24T01:44:03Z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13_calculation" linkTarget="prop_13_calculation">
    <vt:lpwstr>#REF!</vt:lpwstr>
  </property>
  <property fmtid="{D5CDD505-2E9C-101B-9397-08002B2CF9AE}" pid="3" name="ContentTypeId">
    <vt:lpwstr>0x010100F7B4B71F1465E74CB5C191C4F1D2E420</vt:lpwstr>
  </property>
  <property fmtid="{D5CDD505-2E9C-101B-9397-08002B2CF9AE}" pid="4" name="tax_rt" linkTarget="prop_tax_rt">
    <vt:lpwstr>#REF!</vt:lpwstr>
  </property>
</Properties>
</file>